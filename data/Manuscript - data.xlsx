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R:\Science\CESD\ABL\Project Files\AIS\APC0252 - R&amp;D Field protocol for rapid AIS detection\Manuscript\"/>
    </mc:Choice>
  </mc:AlternateContent>
  <xr:revisionPtr revIDLastSave="202" documentId="13_ncr:1_{DF978089-21F3-497E-81EE-0DAB2720EC66}" xr6:coauthVersionLast="47" xr6:coauthVersionMax="47" xr10:uidLastSave="{2349749A-B240-47B4-BEA4-0219DC242260}"/>
  <bookViews>
    <workbookView minimized="1" xWindow="39075" yWindow="2715" windowWidth="21600" windowHeight="11235" firstSheet="3" activeTab="3" xr2:uid="{8C183C85-4CED-4E4A-8D38-D63D3EFEF6E1}"/>
  </bookViews>
  <sheets>
    <sheet name="Extraction Optimization" sheetId="4" r:id="rId1"/>
    <sheet name="Ext_R" sheetId="7" r:id="rId2"/>
    <sheet name="Mobile vs Lab" sheetId="3" r:id="rId3"/>
    <sheet name="QPCR_R" sheetId="8" r:id="rId4"/>
    <sheet name="Steep vs water samples" sheetId="2" r:id="rId5"/>
    <sheet name="eDNA and Assay Stability" sheetId="5" r:id="rId6"/>
    <sheet name="Field Trial" sheetId="6" r:id="rId7"/>
  </sheets>
  <definedNames>
    <definedName name="_xlnm._FilterDatabase" localSheetId="1" hidden="1">Ext_R!$B$2:$AI$21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5" l="1"/>
  <c r="K57" i="6"/>
  <c r="K56" i="6"/>
  <c r="K55" i="6"/>
  <c r="K54" i="6"/>
  <c r="F54" i="6"/>
  <c r="K53" i="6"/>
  <c r="K52" i="6"/>
  <c r="F52" i="6"/>
  <c r="K51" i="6"/>
  <c r="F51" i="6"/>
  <c r="K50" i="6"/>
  <c r="F50" i="6"/>
  <c r="L6" i="4" l="1"/>
  <c r="L5" i="4"/>
  <c r="L4" i="4"/>
  <c r="L3" i="4"/>
  <c r="AT38" i="3"/>
  <c r="AP38" i="3"/>
  <c r="AO38" i="3"/>
  <c r="AT37" i="3"/>
  <c r="AP37" i="3"/>
  <c r="AO37" i="3"/>
  <c r="AT36" i="3"/>
  <c r="AP36" i="3"/>
  <c r="AO36" i="3"/>
  <c r="AT35" i="3"/>
  <c r="AP35" i="3"/>
  <c r="AO35" i="3"/>
  <c r="X38" i="3"/>
  <c r="U38" i="3"/>
  <c r="T38" i="3"/>
  <c r="X37" i="3"/>
  <c r="U37" i="3"/>
  <c r="T37" i="3"/>
  <c r="X36" i="3"/>
  <c r="U36" i="3"/>
  <c r="T36" i="3"/>
  <c r="X35" i="3"/>
  <c r="U35" i="3"/>
  <c r="T35" i="3"/>
  <c r="Y9" i="3"/>
  <c r="X9" i="3"/>
  <c r="Z9" i="3" s="1"/>
  <c r="Y8" i="3"/>
  <c r="X8" i="3"/>
  <c r="Z8" i="3" s="1"/>
  <c r="Y7" i="3"/>
  <c r="X7" i="3"/>
  <c r="Z7" i="3" s="1"/>
  <c r="Y6" i="3"/>
  <c r="X6" i="3"/>
  <c r="Z6" i="3" s="1"/>
  <c r="Y5" i="3"/>
  <c r="X5" i="3"/>
  <c r="Z5" i="3" s="1"/>
  <c r="Y4" i="3"/>
  <c r="X4" i="3"/>
  <c r="Z4" i="3" s="1"/>
  <c r="H7" i="3"/>
  <c r="M7" i="3"/>
  <c r="N7" i="3"/>
  <c r="H8" i="3"/>
  <c r="M8" i="3"/>
  <c r="N8" i="3"/>
  <c r="H9" i="3"/>
  <c r="M9" i="3"/>
  <c r="N9" i="3"/>
  <c r="N6" i="3"/>
  <c r="M6" i="3"/>
  <c r="H6" i="3"/>
  <c r="N5" i="3"/>
  <c r="M5" i="3"/>
  <c r="H5" i="3"/>
  <c r="N4" i="3"/>
  <c r="M4" i="3"/>
  <c r="H4" i="3"/>
  <c r="M10" i="2"/>
  <c r="M9" i="2"/>
  <c r="M8" i="2"/>
  <c r="M7" i="2"/>
  <c r="M6" i="2"/>
  <c r="M5" i="2"/>
  <c r="M4" i="2"/>
  <c r="M3" i="2"/>
  <c r="O9" i="3" l="1"/>
  <c r="O7" i="3"/>
  <c r="O8" i="3"/>
  <c r="O6" i="3"/>
  <c r="O5" i="3"/>
  <c r="O4" i="3"/>
</calcChain>
</file>

<file path=xl/sharedStrings.xml><?xml version="1.0" encoding="utf-8"?>
<sst xmlns="http://schemas.openxmlformats.org/spreadsheetml/2006/main" count="1067" uniqueCount="232">
  <si>
    <t>B. schlosseri</t>
  </si>
  <si>
    <t>C. intestinalis</t>
  </si>
  <si>
    <t>B. violaceus</t>
  </si>
  <si>
    <t>Sample ID</t>
  </si>
  <si>
    <t>REPLICATE</t>
  </si>
  <si>
    <t>Sample Location</t>
  </si>
  <si>
    <t>Filter Preservation</t>
  </si>
  <si>
    <t>Volume Filtered (L)</t>
  </si>
  <si>
    <t>Sample (Field) Notes</t>
  </si>
  <si>
    <t>DNA Concentration</t>
  </si>
  <si>
    <t>CT_1</t>
  </si>
  <si>
    <t>CT_2</t>
  </si>
  <si>
    <t>CT_3</t>
  </si>
  <si>
    <t>CT_Mean</t>
  </si>
  <si>
    <t>CT_SD</t>
  </si>
  <si>
    <t>Quantity_1</t>
  </si>
  <si>
    <t>Quantity_2</t>
  </si>
  <si>
    <t>Quantity_3</t>
  </si>
  <si>
    <t>A</t>
  </si>
  <si>
    <t>Sambro</t>
  </si>
  <si>
    <t>Ethanol</t>
  </si>
  <si>
    <t>DNeasyLab Protocol - O/N hr digest</t>
  </si>
  <si>
    <t>B</t>
  </si>
  <si>
    <t>C</t>
  </si>
  <si>
    <t>Blank</t>
  </si>
  <si>
    <t>control filter has some debris</t>
  </si>
  <si>
    <t>DNeasyLab Protocol - 3 hr digest</t>
  </si>
  <si>
    <t>882-ENEG-1</t>
  </si>
  <si>
    <t>ENEG</t>
  </si>
  <si>
    <t>NOAMP</t>
  </si>
  <si>
    <t>DNeasyLab Protocol - 1 hr digest</t>
  </si>
  <si>
    <t>debris on filter</t>
  </si>
  <si>
    <t>882-ENEG-2</t>
  </si>
  <si>
    <t>DNeasyLab Protocol - 30 min digest</t>
  </si>
  <si>
    <t>re-control for 44662 (which had fallen on the dock)</t>
  </si>
  <si>
    <t>882-ENEG-3</t>
  </si>
  <si>
    <t>DNeasyLab Protocol - 15 min digest</t>
  </si>
  <si>
    <t>Type</t>
  </si>
  <si>
    <t>Filter</t>
  </si>
  <si>
    <t>ABL Sample ID</t>
  </si>
  <si>
    <t>Extraction Protocol</t>
  </si>
  <si>
    <t>CT_4</t>
  </si>
  <si>
    <t>CT_5</t>
  </si>
  <si>
    <t>CT_6</t>
  </si>
  <si>
    <t>IPC result, inhibition?</t>
  </si>
  <si>
    <t>B_01_Control</t>
  </si>
  <si>
    <t>Field Blank - A</t>
  </si>
  <si>
    <t>Steep Rock</t>
  </si>
  <si>
    <t>0.5 GF filter</t>
  </si>
  <si>
    <t>dessicant in coin envelope</t>
  </si>
  <si>
    <t>1L</t>
  </si>
  <si>
    <t>N</t>
  </si>
  <si>
    <t>B_06</t>
  </si>
  <si>
    <t>Sample - A</t>
  </si>
  <si>
    <t>B_11</t>
  </si>
  <si>
    <t>B_16</t>
  </si>
  <si>
    <t>B_21</t>
  </si>
  <si>
    <t>B_30</t>
  </si>
  <si>
    <t>Field Blank - B</t>
  </si>
  <si>
    <t>Sample - B</t>
  </si>
  <si>
    <t>B-06-1hr</t>
  </si>
  <si>
    <t>B-11-30min</t>
  </si>
  <si>
    <t>B-16-30min</t>
  </si>
  <si>
    <t>B-21-15min</t>
  </si>
  <si>
    <t>B-30-15min</t>
  </si>
  <si>
    <t>B. Schlosseri - Medium</t>
  </si>
  <si>
    <t xml:space="preserve">24 hrs </t>
  </si>
  <si>
    <t>3 hrs</t>
  </si>
  <si>
    <t>1 hr</t>
  </si>
  <si>
    <t>0.5 hr</t>
  </si>
  <si>
    <t>0.25 hr</t>
  </si>
  <si>
    <t>C. intestinalis - high</t>
  </si>
  <si>
    <t>2 hrs</t>
  </si>
  <si>
    <t>B. violaceus - low</t>
  </si>
  <si>
    <t>24 hrs</t>
  </si>
  <si>
    <t>Zebra Mussel - Very Low</t>
  </si>
  <si>
    <t>B_06A</t>
  </si>
  <si>
    <t>B_11A</t>
  </si>
  <si>
    <t>B_16A</t>
  </si>
  <si>
    <t>B_21A</t>
  </si>
  <si>
    <t>B_30A</t>
  </si>
  <si>
    <t>B_06B</t>
  </si>
  <si>
    <t>B_11B</t>
  </si>
  <si>
    <t>B_16B</t>
  </si>
  <si>
    <t>B_21B</t>
  </si>
  <si>
    <t>B_30B</t>
  </si>
  <si>
    <t>3 hr</t>
  </si>
  <si>
    <t>Field replicate</t>
  </si>
  <si>
    <t>DNeasyLab Protocol - 24 hr digest</t>
  </si>
  <si>
    <t>DNeasyLab Protocol - 2 hr digest</t>
  </si>
  <si>
    <t>Data structure</t>
  </si>
  <si>
    <t>Performance</t>
  </si>
  <si>
    <t>B. Schlosseri</t>
  </si>
  <si>
    <t>QuantStudio 7 Flex</t>
  </si>
  <si>
    <t>Liberty 16</t>
  </si>
  <si>
    <t xml:space="preserve">Liberty 16 </t>
  </si>
  <si>
    <t>Abs CT diff (Quant vs Liberty)</t>
  </si>
  <si>
    <t>100% Steeped samples; after ~ 30 minutes</t>
  </si>
  <si>
    <t>--</t>
  </si>
  <si>
    <t>50% Steeped samples; after ~ 10 minutes</t>
  </si>
  <si>
    <t>10% Steeped samples; after ~&lt;5 minutes</t>
  </si>
  <si>
    <t>B. schlosseri QS7</t>
  </si>
  <si>
    <t>B. schlosseri Liberty 16</t>
  </si>
  <si>
    <t>C. intestinalis QS7</t>
  </si>
  <si>
    <t>C. intestinalis Liberty 16</t>
  </si>
  <si>
    <t>Sensitivity</t>
  </si>
  <si>
    <t>Liberty16</t>
  </si>
  <si>
    <t>DNA type</t>
  </si>
  <si>
    <t>STD (cp/uL)</t>
  </si>
  <si>
    <t>Total DNA (cp/rxn)</t>
  </si>
  <si>
    <t>CT_7</t>
  </si>
  <si>
    <t>CT_8</t>
  </si>
  <si>
    <t>CT_9</t>
  </si>
  <si>
    <t>CT_10</t>
  </si>
  <si>
    <t>CT_11</t>
  </si>
  <si>
    <t>CT_12</t>
  </si>
  <si>
    <t>CT_13</t>
  </si>
  <si>
    <t>CT_14</t>
  </si>
  <si>
    <t>CT_15</t>
  </si>
  <si>
    <t>CT_16</t>
  </si>
  <si>
    <t># AMP</t>
  </si>
  <si>
    <t># NO AMP</t>
  </si>
  <si>
    <t>% amp</t>
  </si>
  <si>
    <t>LOD 95</t>
  </si>
  <si>
    <t>B. schlosseri COI gBlock</t>
  </si>
  <si>
    <t>C. intestinalis COI gBlock</t>
  </si>
  <si>
    <t>NA</t>
  </si>
  <si>
    <t>13*</t>
  </si>
  <si>
    <t>2*</t>
  </si>
  <si>
    <t>* amplification curve doesn't look normal and Ct value much lower than other replicates</t>
  </si>
  <si>
    <t>QS7</t>
  </si>
  <si>
    <t>Run Name: Atlantic Wolfish_2025_06_19_0814</t>
  </si>
  <si>
    <t>Target Assay Name</t>
  </si>
  <si>
    <t xml:space="preserve">Row 1                              </t>
  </si>
  <si>
    <t>Row 2</t>
  </si>
  <si>
    <t>Anticipated Ct values</t>
  </si>
  <si>
    <t>Std 10^1</t>
  </si>
  <si>
    <t>Atl. Wolfish</t>
  </si>
  <si>
    <t>Std 10^2</t>
  </si>
  <si>
    <t>Std 10^3</t>
  </si>
  <si>
    <t>Std 10^4</t>
  </si>
  <si>
    <t>Std 10^5</t>
  </si>
  <si>
    <t>Std 10^6</t>
  </si>
  <si>
    <t>Std 10^7</t>
  </si>
  <si>
    <t>Std 10^8</t>
  </si>
  <si>
    <t>Note: The stress test was conducted on the Perley during medium ocean conditions. The Perley is notorious for being unstable.</t>
  </si>
  <si>
    <t>Extraction ID</t>
  </si>
  <si>
    <t>TUBES862</t>
  </si>
  <si>
    <t>DNeasyLab Protocol</t>
  </si>
  <si>
    <t>non-Steeped samples; Filtered sea water (SW) 100%</t>
  </si>
  <si>
    <t>C. Intestinalis</t>
  </si>
  <si>
    <t>CT mean</t>
  </si>
  <si>
    <t>Sambro Water Samples</t>
  </si>
  <si>
    <t>Sambro Steeped Samples</t>
  </si>
  <si>
    <t>44673 - 100%</t>
  </si>
  <si>
    <t>44674 - 50%</t>
  </si>
  <si>
    <t>44675 - 10%</t>
  </si>
  <si>
    <t>Sample</t>
  </si>
  <si>
    <t>Time period (Months)</t>
  </si>
  <si>
    <t>B-06</t>
  </si>
  <si>
    <t>B-11</t>
  </si>
  <si>
    <t>B-16</t>
  </si>
  <si>
    <t>B-21</t>
  </si>
  <si>
    <t>B-30</t>
  </si>
  <si>
    <t>0 Months</t>
  </si>
  <si>
    <t>3 Months</t>
  </si>
  <si>
    <t>Zebra Mussel</t>
  </si>
  <si>
    <t>Hours at Room Temp</t>
  </si>
  <si>
    <t>CT Mean</t>
  </si>
  <si>
    <t xml:space="preserve">CT_SD </t>
  </si>
  <si>
    <t>Hull eDNA 015</t>
  </si>
  <si>
    <t>Hull eDNA 017</t>
  </si>
  <si>
    <t>Hull eDNA 019</t>
  </si>
  <si>
    <t>0hr RT</t>
  </si>
  <si>
    <t>24hr RT</t>
  </si>
  <si>
    <t>48hr RT</t>
  </si>
  <si>
    <t>Extraction Form</t>
  </si>
  <si>
    <t>Site</t>
  </si>
  <si>
    <t>Filter Half (A or B)</t>
  </si>
  <si>
    <t>Sample Type (e.g., Replicate, Field Blank or Extraction negative)</t>
  </si>
  <si>
    <t>In-field or Lab</t>
  </si>
  <si>
    <t>Extraction Date</t>
  </si>
  <si>
    <t>Personnel</t>
  </si>
  <si>
    <t>Weather Conditions (e.g., windy, sun, temperature, humidity, etc.)</t>
  </si>
  <si>
    <t>BIO - Floating Dock</t>
  </si>
  <si>
    <t>RA A</t>
  </si>
  <si>
    <t>Replicate</t>
  </si>
  <si>
    <t>In-field</t>
  </si>
  <si>
    <t>Evan Cronmiller</t>
  </si>
  <si>
    <r>
      <t>Sunny with scattered showers and clouds. Temp was 9</t>
    </r>
    <r>
      <rPr>
        <sz val="11"/>
        <color rgb="FF000000"/>
        <rFont val="Calibri"/>
        <family val="2"/>
      </rPr>
      <t>°</t>
    </r>
    <r>
      <rPr>
        <sz val="11"/>
        <color rgb="FF000000"/>
        <rFont val="Aptos Narrow"/>
        <family val="2"/>
        <scheme val="minor"/>
      </rPr>
      <t xml:space="preserve">C. Wind NNW 30 gust 50 kph. </t>
    </r>
  </si>
  <si>
    <t>RB A</t>
  </si>
  <si>
    <t>RC A</t>
  </si>
  <si>
    <t>C A</t>
  </si>
  <si>
    <t>Field Blank</t>
  </si>
  <si>
    <t>Extraction Negative</t>
  </si>
  <si>
    <t>Ct value  Replicate 1</t>
  </si>
  <si>
    <t>Ct value  Replicate 2</t>
  </si>
  <si>
    <t>Ct value  Replicate 3</t>
  </si>
  <si>
    <t>IPC Checked (Yes/No)</t>
  </si>
  <si>
    <t>Std 8</t>
  </si>
  <si>
    <t>No</t>
  </si>
  <si>
    <t>Std 1</t>
  </si>
  <si>
    <t>RA_A</t>
  </si>
  <si>
    <t>RB_A</t>
  </si>
  <si>
    <t>Field ENEG</t>
  </si>
  <si>
    <t>C_A (Field Blank)</t>
  </si>
  <si>
    <t>NTC</t>
  </si>
  <si>
    <t>QuantStudio 7</t>
  </si>
  <si>
    <t>Field or Lab extraction</t>
  </si>
  <si>
    <t>DNA concentration (ng/uL)</t>
  </si>
  <si>
    <t>Std 5</t>
  </si>
  <si>
    <t>Std 4</t>
  </si>
  <si>
    <t>Std 3</t>
  </si>
  <si>
    <t>Std 2</t>
  </si>
  <si>
    <t>Std 0</t>
  </si>
  <si>
    <t>Field</t>
  </si>
  <si>
    <t>Yes</t>
  </si>
  <si>
    <t>T4</t>
  </si>
  <si>
    <t>RA_B</t>
  </si>
  <si>
    <t>Lab</t>
  </si>
  <si>
    <t>RB_B</t>
  </si>
  <si>
    <t>RC_A</t>
  </si>
  <si>
    <t>RC_B</t>
  </si>
  <si>
    <t>C_A</t>
  </si>
  <si>
    <t>C_B (Field_Control_B)</t>
  </si>
  <si>
    <t>Lab ENEG (920-ENEG-1)</t>
  </si>
  <si>
    <t>Field - Liberty 16</t>
  </si>
  <si>
    <t>Lab - QuantStudio 7 Flex</t>
  </si>
  <si>
    <t>Ct Mean</t>
  </si>
  <si>
    <t>------</t>
  </si>
  <si>
    <t>Field - NTC</t>
  </si>
  <si>
    <t>Lab - NTC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</si>
</sst>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#,##0.0"/>
    <numFmt numFmtId="167" formatCode="0.0"/>
  </numFmts>
  <fonts count="14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6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3">
    <xf numFmtId="0" fontId="0" fillId="0" borderId="0" xfId="0"/>
    <xf numFmtId="0" fontId="2" fillId="0" borderId="1" xfId="0" applyFont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2" fontId="0" fillId="0" borderId="14" xfId="0" applyNumberForma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4" fillId="0" borderId="6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2" xfId="0" applyBorder="1"/>
    <xf numFmtId="2" fontId="0" fillId="0" borderId="16" xfId="0" applyNumberFormat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2" fontId="0" fillId="0" borderId="17" xfId="0" applyNumberForma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2" fillId="0" borderId="0" xfId="0" applyFont="1"/>
    <xf numFmtId="0" fontId="0" fillId="0" borderId="6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164" fontId="1" fillId="0" borderId="2" xfId="0" applyNumberFormat="1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164" fontId="0" fillId="0" borderId="6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1" fillId="0" borderId="18" xfId="0" applyNumberFormat="1" applyFont="1" applyBorder="1"/>
    <xf numFmtId="164" fontId="1" fillId="0" borderId="22" xfId="0" applyNumberFormat="1" applyFont="1" applyBorder="1"/>
    <xf numFmtId="164" fontId="1" fillId="0" borderId="10" xfId="0" applyNumberFormat="1" applyFont="1" applyBorder="1"/>
    <xf numFmtId="164" fontId="1" fillId="0" borderId="1" xfId="0" applyNumberFormat="1" applyFont="1" applyBorder="1"/>
    <xf numFmtId="164" fontId="1" fillId="0" borderId="11" xfId="0" applyNumberFormat="1" applyFont="1" applyBorder="1"/>
    <xf numFmtId="2" fontId="0" fillId="0" borderId="0" xfId="0" applyNumberFormat="1" applyAlignment="1">
      <alignment horizontal="center"/>
    </xf>
    <xf numFmtId="2" fontId="1" fillId="0" borderId="22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1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8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0" fillId="0" borderId="12" xfId="0" applyBorder="1"/>
    <xf numFmtId="0" fontId="2" fillId="0" borderId="8" xfId="0" applyFont="1" applyBorder="1"/>
    <xf numFmtId="0" fontId="2" fillId="0" borderId="15" xfId="0" applyFont="1" applyBorder="1"/>
    <xf numFmtId="2" fontId="0" fillId="0" borderId="0" xfId="0" applyNumberFormat="1"/>
    <xf numFmtId="0" fontId="0" fillId="0" borderId="24" xfId="0" applyBorder="1"/>
    <xf numFmtId="0" fontId="2" fillId="0" borderId="11" xfId="0" applyFont="1" applyBorder="1" applyAlignment="1">
      <alignment horizontal="center" wrapText="1"/>
    </xf>
    <xf numFmtId="0" fontId="0" fillId="0" borderId="12" xfId="0" applyBorder="1" applyAlignment="1">
      <alignment horizontal="center"/>
    </xf>
    <xf numFmtId="2" fontId="4" fillId="0" borderId="3" xfId="0" applyNumberFormat="1" applyFont="1" applyBorder="1" applyAlignment="1">
      <alignment horizontal="center" vertical="center"/>
    </xf>
    <xf numFmtId="2" fontId="4" fillId="0" borderId="12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4" xfId="0" quotePrefix="1" applyNumberFormat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0" fontId="0" fillId="0" borderId="3" xfId="0" applyBorder="1" applyAlignment="1">
      <alignment horizontal="right"/>
    </xf>
    <xf numFmtId="0" fontId="0" fillId="0" borderId="12" xfId="0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0" fillId="0" borderId="6" xfId="0" applyBorder="1" applyAlignment="1">
      <alignment horizontal="right"/>
    </xf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right"/>
    </xf>
    <xf numFmtId="2" fontId="4" fillId="0" borderId="10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26" xfId="0" quotePrefix="1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25" xfId="0" applyBorder="1"/>
    <xf numFmtId="0" fontId="2" fillId="0" borderId="28" xfId="0" applyFont="1" applyBorder="1" applyAlignment="1">
      <alignment horizontal="center"/>
    </xf>
    <xf numFmtId="0" fontId="0" fillId="0" borderId="29" xfId="0" applyBorder="1"/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2" fontId="4" fillId="0" borderId="15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0" borderId="8" xfId="0" applyFont="1" applyBorder="1" applyAlignment="1">
      <alignment horizontal="center"/>
    </xf>
    <xf numFmtId="2" fontId="4" fillId="0" borderId="16" xfId="0" applyNumberFormat="1" applyFont="1" applyBorder="1" applyAlignment="1">
      <alignment horizontal="center"/>
    </xf>
    <xf numFmtId="2" fontId="4" fillId="0" borderId="17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 vertical="top"/>
    </xf>
    <xf numFmtId="2" fontId="0" fillId="0" borderId="2" xfId="0" applyNumberFormat="1" applyBorder="1"/>
    <xf numFmtId="165" fontId="0" fillId="0" borderId="0" xfId="0" applyNumberFormat="1"/>
    <xf numFmtId="165" fontId="0" fillId="0" borderId="2" xfId="0" applyNumberFormat="1" applyBorder="1"/>
    <xf numFmtId="0" fontId="0" fillId="0" borderId="0" xfId="0" quotePrefix="1"/>
    <xf numFmtId="0" fontId="0" fillId="0" borderId="2" xfId="0" quotePrefix="1" applyBorder="1"/>
    <xf numFmtId="2" fontId="0" fillId="0" borderId="15" xfId="0" applyNumberFormat="1" applyBorder="1"/>
    <xf numFmtId="0" fontId="6" fillId="0" borderId="3" xfId="0" applyFont="1" applyBorder="1"/>
    <xf numFmtId="0" fontId="6" fillId="0" borderId="12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7" fillId="0" borderId="6" xfId="0" applyFont="1" applyBorder="1"/>
    <xf numFmtId="0" fontId="7" fillId="0" borderId="0" xfId="0" applyFont="1" applyAlignment="1">
      <alignment horizontal="center"/>
    </xf>
    <xf numFmtId="0" fontId="7" fillId="0" borderId="8" xfId="0" applyFont="1" applyBorder="1" applyAlignment="1">
      <alignment horizontal="center"/>
    </xf>
    <xf numFmtId="166" fontId="0" fillId="0" borderId="0" xfId="0" applyNumberFormat="1" applyAlignment="1">
      <alignment horizontal="center"/>
    </xf>
    <xf numFmtId="0" fontId="7" fillId="0" borderId="8" xfId="0" quotePrefix="1" applyFont="1" applyBorder="1" applyAlignment="1">
      <alignment horizontal="center"/>
    </xf>
    <xf numFmtId="0" fontId="7" fillId="0" borderId="10" xfId="0" applyFont="1" applyBorder="1"/>
    <xf numFmtId="0" fontId="7" fillId="0" borderId="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0" fillId="0" borderId="12" xfId="0" applyBorder="1" applyAlignment="1">
      <alignment horizontal="right"/>
    </xf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6" xfId="0" applyNumberFormat="1" applyBorder="1"/>
    <xf numFmtId="0" fontId="2" fillId="0" borderId="17" xfId="0" applyFont="1" applyBorder="1" applyAlignment="1">
      <alignment wrapText="1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8" xfId="0" applyNumberFormat="1" applyBorder="1"/>
    <xf numFmtId="2" fontId="0" fillId="0" borderId="10" xfId="0" applyNumberFormat="1" applyBorder="1"/>
    <xf numFmtId="2" fontId="0" fillId="0" borderId="1" xfId="0" applyNumberFormat="1" applyBorder="1"/>
    <xf numFmtId="2" fontId="0" fillId="0" borderId="11" xfId="0" applyNumberFormat="1" applyBorder="1"/>
    <xf numFmtId="2" fontId="1" fillId="0" borderId="6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2" fontId="1" fillId="0" borderId="6" xfId="0" applyNumberFormat="1" applyFont="1" applyBorder="1"/>
    <xf numFmtId="2" fontId="1" fillId="0" borderId="8" xfId="0" applyNumberFormat="1" applyFont="1" applyBorder="1"/>
    <xf numFmtId="0" fontId="2" fillId="0" borderId="17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0" xfId="0" applyFont="1" applyAlignment="1">
      <alignment horizontal="center"/>
    </xf>
    <xf numFmtId="2" fontId="9" fillId="0" borderId="15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0" fontId="8" fillId="0" borderId="0" xfId="0" applyFont="1"/>
    <xf numFmtId="2" fontId="8" fillId="0" borderId="15" xfId="0" applyNumberFormat="1" applyFont="1" applyBorder="1" applyAlignment="1">
      <alignment horizontal="center" vertical="top"/>
    </xf>
    <xf numFmtId="2" fontId="8" fillId="0" borderId="0" xfId="0" applyNumberFormat="1" applyFont="1" applyAlignment="1">
      <alignment horizontal="center" vertical="top"/>
    </xf>
    <xf numFmtId="0" fontId="8" fillId="0" borderId="1" xfId="0" applyFont="1" applyBorder="1"/>
    <xf numFmtId="2" fontId="8" fillId="0" borderId="17" xfId="0" applyNumberFormat="1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/>
    </xf>
    <xf numFmtId="0" fontId="0" fillId="0" borderId="15" xfId="0" applyBorder="1"/>
    <xf numFmtId="0" fontId="2" fillId="0" borderId="0" xfId="0" applyFont="1" applyAlignment="1">
      <alignment horizontal="center" wrapText="1"/>
    </xf>
    <xf numFmtId="0" fontId="0" fillId="0" borderId="30" xfId="0" applyBorder="1"/>
    <xf numFmtId="0" fontId="0" fillId="0" borderId="30" xfId="0" applyBorder="1" applyAlignment="1">
      <alignment horizontal="center"/>
    </xf>
    <xf numFmtId="2" fontId="4" fillId="0" borderId="30" xfId="0" applyNumberFormat="1" applyFont="1" applyBorder="1" applyAlignment="1">
      <alignment horizontal="center"/>
    </xf>
    <xf numFmtId="2" fontId="0" fillId="0" borderId="30" xfId="0" applyNumberFormat="1" applyBorder="1" applyAlignment="1">
      <alignment horizontal="center"/>
    </xf>
    <xf numFmtId="0" fontId="0" fillId="0" borderId="30" xfId="0" applyBorder="1" applyAlignment="1">
      <alignment horizontal="center" wrapText="1"/>
    </xf>
    <xf numFmtId="0" fontId="10" fillId="0" borderId="0" xfId="0" applyFont="1" applyAlignment="1">
      <alignment horizontal="center" vertical="center" wrapText="1" readingOrder="1"/>
    </xf>
    <xf numFmtId="2" fontId="0" fillId="0" borderId="5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Alignment="1">
      <alignment horizontal="left"/>
    </xf>
    <xf numFmtId="2" fontId="0" fillId="0" borderId="1" xfId="0" applyNumberFormat="1" applyBorder="1" applyAlignment="1">
      <alignment horizontal="left"/>
    </xf>
    <xf numFmtId="2" fontId="0" fillId="0" borderId="2" xfId="0" applyNumberFormat="1" applyBorder="1" applyAlignment="1">
      <alignment horizontal="left"/>
    </xf>
    <xf numFmtId="165" fontId="0" fillId="0" borderId="0" xfId="0" applyNumberFormat="1" applyAlignment="1">
      <alignment horizontal="center"/>
    </xf>
    <xf numFmtId="0" fontId="11" fillId="0" borderId="0" xfId="0" applyFont="1" applyAlignment="1">
      <alignment vertical="center" wrapText="1" readingOrder="1"/>
    </xf>
    <xf numFmtId="2" fontId="0" fillId="0" borderId="12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1" fillId="0" borderId="12" xfId="0" applyFont="1" applyBorder="1" applyAlignment="1">
      <alignment vertical="center" wrapText="1" readingOrder="1"/>
    </xf>
    <xf numFmtId="0" fontId="6" fillId="0" borderId="30" xfId="0" applyFont="1" applyBorder="1" applyAlignment="1">
      <alignment horizontal="center" wrapText="1"/>
    </xf>
    <xf numFmtId="0" fontId="7" fillId="0" borderId="30" xfId="0" applyFont="1" applyBorder="1"/>
    <xf numFmtId="15" fontId="7" fillId="0" borderId="30" xfId="0" applyNumberFormat="1" applyFont="1" applyBorder="1"/>
    <xf numFmtId="0" fontId="6" fillId="0" borderId="34" xfId="0" applyFont="1" applyBorder="1"/>
    <xf numFmtId="0" fontId="6" fillId="0" borderId="35" xfId="0" applyFont="1" applyBorder="1" applyAlignment="1">
      <alignment horizontal="center" wrapText="1"/>
    </xf>
    <xf numFmtId="0" fontId="6" fillId="0" borderId="36" xfId="0" applyFont="1" applyBorder="1" applyAlignment="1">
      <alignment horizontal="center" wrapText="1"/>
    </xf>
    <xf numFmtId="0" fontId="7" fillId="0" borderId="37" xfId="0" applyFont="1" applyBorder="1"/>
    <xf numFmtId="0" fontId="7" fillId="0" borderId="30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/>
    <xf numFmtId="0" fontId="7" fillId="0" borderId="40" xfId="0" applyFont="1" applyBorder="1"/>
    <xf numFmtId="0" fontId="7" fillId="0" borderId="40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4" fontId="0" fillId="0" borderId="30" xfId="0" applyNumberFormat="1" applyBorder="1" applyAlignment="1">
      <alignment horizontal="center"/>
    </xf>
    <xf numFmtId="4" fontId="0" fillId="0" borderId="38" xfId="0" applyNumberForma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0" fillId="0" borderId="6" xfId="0" applyBorder="1"/>
    <xf numFmtId="4" fontId="2" fillId="0" borderId="40" xfId="0" applyNumberFormat="1" applyFont="1" applyBorder="1" applyAlignment="1">
      <alignment horizontal="center"/>
    </xf>
    <xf numFmtId="4" fontId="2" fillId="0" borderId="4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0" fontId="0" fillId="0" borderId="0" xfId="0" quotePrefix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7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11" fillId="0" borderId="0" xfId="0" applyFont="1" applyAlignment="1">
      <alignment horizontal="center" vertical="center" wrapText="1" readingOrder="1"/>
    </xf>
    <xf numFmtId="0" fontId="11" fillId="0" borderId="1" xfId="0" applyFont="1" applyBorder="1" applyAlignment="1">
      <alignment horizontal="center" vertical="center" wrapText="1" readingOrder="1"/>
    </xf>
    <xf numFmtId="0" fontId="11" fillId="0" borderId="12" xfId="0" applyFont="1" applyBorder="1" applyAlignment="1">
      <alignment horizontal="center" vertical="center" wrapText="1" readingOrder="1"/>
    </xf>
    <xf numFmtId="0" fontId="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7" fillId="0" borderId="31" xfId="0" applyFont="1" applyBorder="1" applyAlignment="1">
      <alignment horizontal="center" wrapText="1"/>
    </xf>
    <xf numFmtId="0" fontId="7" fillId="0" borderId="32" xfId="0" applyFont="1" applyBorder="1" applyAlignment="1">
      <alignment horizontal="center" wrapText="1"/>
    </xf>
    <xf numFmtId="0" fontId="7" fillId="0" borderId="33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B.</a:t>
            </a:r>
            <a:r>
              <a:rPr lang="en-US" baseline="0"/>
              <a:t> schlosseri - Medium Abundance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'Extraction Optimization'!$A$43</c:f>
              <c:strCache>
                <c:ptCount val="1"/>
                <c:pt idx="0">
                  <c:v>24 hrs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Optimization'!$B$41:$M$42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Optimization'!$B$43:$M$43</c:f>
              <c:numCache>
                <c:formatCode>0.00</c:formatCode>
                <c:ptCount val="12"/>
                <c:pt idx="0">
                  <c:v>27.310000000000002</c:v>
                </c:pt>
                <c:pt idx="1">
                  <c:v>29.938666666666666</c:v>
                </c:pt>
                <c:pt idx="2">
                  <c:v>29.963999999999999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25-4252-8C72-3602C410BC5A}"/>
            </c:ext>
          </c:extLst>
        </c:ser>
        <c:ser>
          <c:idx val="1"/>
          <c:order val="1"/>
          <c:tx>
            <c:strRef>
              <c:f>'Extraction Optimization'!$A$44</c:f>
              <c:strCache>
                <c:ptCount val="1"/>
                <c:pt idx="0">
                  <c:v>3 hrs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Optimization'!$B$41:$M$42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Optimization'!$B$44:$M$44</c:f>
              <c:numCache>
                <c:formatCode>0.00</c:formatCode>
                <c:ptCount val="12"/>
                <c:pt idx="3">
                  <c:v>28.516721725463867</c:v>
                </c:pt>
                <c:pt idx="4">
                  <c:v>29.476434707641602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25-4252-8C72-3602C410BC5A}"/>
            </c:ext>
          </c:extLst>
        </c:ser>
        <c:ser>
          <c:idx val="2"/>
          <c:order val="2"/>
          <c:tx>
            <c:strRef>
              <c:f>'Extraction Optimization'!$A$45</c:f>
              <c:strCache>
                <c:ptCount val="1"/>
                <c:pt idx="0">
                  <c:v>1 hr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Optimization'!$B$41:$M$42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Optimization'!$B$45:$M$45</c:f>
              <c:numCache>
                <c:formatCode>General</c:formatCode>
                <c:ptCount val="12"/>
                <c:pt idx="5" formatCode="0.00">
                  <c:v>22.960784912109375</c:v>
                </c:pt>
                <c:pt idx="6" formatCode="0.00">
                  <c:v>30.339784622192383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25-4252-8C72-3602C410BC5A}"/>
            </c:ext>
          </c:extLst>
        </c:ser>
        <c:ser>
          <c:idx val="3"/>
          <c:order val="3"/>
          <c:tx>
            <c:strRef>
              <c:f>'Extraction Optimization'!$A$46</c:f>
              <c:strCache>
                <c:ptCount val="1"/>
                <c:pt idx="0">
                  <c:v>0.5 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Optimization'!$B$41:$M$42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Optimization'!$B$46:$M$46</c:f>
              <c:numCache>
                <c:formatCode>General</c:formatCode>
                <c:ptCount val="12"/>
                <c:pt idx="7" formatCode="0.00">
                  <c:v>29.657693862915039</c:v>
                </c:pt>
                <c:pt idx="8" formatCode="0.00">
                  <c:v>29.824913024902344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25-4252-8C72-3602C410BC5A}"/>
            </c:ext>
          </c:extLst>
        </c:ser>
        <c:ser>
          <c:idx val="4"/>
          <c:order val="4"/>
          <c:tx>
            <c:strRef>
              <c:f>'Extraction Optimization'!$A$47</c:f>
              <c:strCache>
                <c:ptCount val="1"/>
                <c:pt idx="0">
                  <c:v>0.25 hr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Optimization'!$B$41:$M$42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Optimization'!$B$47:$M$47</c:f>
              <c:numCache>
                <c:formatCode>General</c:formatCode>
                <c:ptCount val="12"/>
                <c:pt idx="9" formatCode="0.00">
                  <c:v>30.884626388549805</c:v>
                </c:pt>
                <c:pt idx="10" formatCode="0.00">
                  <c:v>30.818727493286133</c:v>
                </c:pt>
                <c:pt idx="11" formatCode="0.00">
                  <c:v>30.9613037109375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25-4252-8C72-3602C410B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8876656"/>
        <c:axId val="1318880496"/>
      </c:barChart>
      <c:catAx>
        <c:axId val="131887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880496"/>
        <c:crosses val="autoZero"/>
        <c:auto val="1"/>
        <c:lblAlgn val="ctr"/>
        <c:lblOffset val="100"/>
        <c:noMultiLvlLbl val="0"/>
      </c:catAx>
      <c:valAx>
        <c:axId val="13188804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87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C.</a:t>
            </a:r>
            <a:r>
              <a:rPr lang="en-US" baseline="0"/>
              <a:t> intestinalis - HIgh Abundance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'Extraction Optimization'!$A$75</c:f>
              <c:strCache>
                <c:ptCount val="1"/>
                <c:pt idx="0">
                  <c:v>24 hrs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Optimization'!$B$73:$M$74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Optimization'!$B$75:$M$75</c:f>
              <c:numCache>
                <c:formatCode>0.00</c:formatCode>
                <c:ptCount val="12"/>
                <c:pt idx="0">
                  <c:v>24.273</c:v>
                </c:pt>
                <c:pt idx="1">
                  <c:v>21.806999999999999</c:v>
                </c:pt>
                <c:pt idx="2">
                  <c:v>21.768000000000001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3-49C6-AF6B-367298705999}"/>
            </c:ext>
          </c:extLst>
        </c:ser>
        <c:ser>
          <c:idx val="1"/>
          <c:order val="1"/>
          <c:tx>
            <c:strRef>
              <c:f>'Extraction Optimization'!$A$76</c:f>
              <c:strCache>
                <c:ptCount val="1"/>
                <c:pt idx="0">
                  <c:v>2 hrs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Optimization'!$B$73:$M$74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Optimization'!$B$76:$M$76</c:f>
              <c:numCache>
                <c:formatCode>General</c:formatCode>
                <c:ptCount val="12"/>
                <c:pt idx="3" formatCode="0.00">
                  <c:v>18.650337219238281</c:v>
                </c:pt>
                <c:pt idx="4" formatCode="0.00">
                  <c:v>19.176219940185547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3-49C6-AF6B-367298705999}"/>
            </c:ext>
          </c:extLst>
        </c:ser>
        <c:ser>
          <c:idx val="2"/>
          <c:order val="2"/>
          <c:tx>
            <c:strRef>
              <c:f>'Extraction Optimization'!$A$77</c:f>
              <c:strCache>
                <c:ptCount val="1"/>
                <c:pt idx="0">
                  <c:v>1 hr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Optimization'!$B$73:$M$74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Optimization'!$B$77:$M$77</c:f>
              <c:numCache>
                <c:formatCode>General</c:formatCode>
                <c:ptCount val="12"/>
                <c:pt idx="5" formatCode="0.00">
                  <c:v>19.743679046630859</c:v>
                </c:pt>
                <c:pt idx="6" formatCode="0.00">
                  <c:v>24.332061767578125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3-49C6-AF6B-367298705999}"/>
            </c:ext>
          </c:extLst>
        </c:ser>
        <c:ser>
          <c:idx val="3"/>
          <c:order val="3"/>
          <c:tx>
            <c:strRef>
              <c:f>'Extraction Optimization'!$A$78</c:f>
              <c:strCache>
                <c:ptCount val="1"/>
                <c:pt idx="0">
                  <c:v>0.5 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Optimization'!$B$73:$M$74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Optimization'!$B$78:$M$78</c:f>
              <c:numCache>
                <c:formatCode>General</c:formatCode>
                <c:ptCount val="12"/>
                <c:pt idx="7" formatCode="0.00">
                  <c:v>22.320892333984375</c:v>
                </c:pt>
                <c:pt idx="8" formatCode="0.00">
                  <c:v>25.337541580200195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3-49C6-AF6B-367298705999}"/>
            </c:ext>
          </c:extLst>
        </c:ser>
        <c:ser>
          <c:idx val="4"/>
          <c:order val="4"/>
          <c:tx>
            <c:strRef>
              <c:f>'Extraction Optimization'!$A$79</c:f>
              <c:strCache>
                <c:ptCount val="1"/>
                <c:pt idx="0">
                  <c:v>0.25 hr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Optimization'!$B$73:$M$74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</c:multiLvlStrCache>
            </c:multiLvlStrRef>
          </c:cat>
          <c:val>
            <c:numRef>
              <c:f>'Extraction Optimization'!$B$79:$M$79</c:f>
              <c:numCache>
                <c:formatCode>0.00</c:formatCode>
                <c:ptCount val="12"/>
                <c:pt idx="9">
                  <c:v>20.403135299682617</c:v>
                </c:pt>
                <c:pt idx="10">
                  <c:v>23.833791732788086</c:v>
                </c:pt>
                <c:pt idx="11">
                  <c:v>22.372884750366211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B3-49C6-AF6B-367298705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7728416"/>
        <c:axId val="1317733216"/>
      </c:barChart>
      <c:catAx>
        <c:axId val="1317728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Samples</a:t>
                </a:r>
              </a:p>
            </c:rich>
          </c:tx>
          <c:layout>
            <c:manualLayout>
              <c:xMode val="edge"/>
              <c:yMode val="edge"/>
              <c:x val="0.45854661028929528"/>
              <c:y val="0.906201241014818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733216"/>
        <c:crosses val="autoZero"/>
        <c:auto val="1"/>
        <c:lblAlgn val="ctr"/>
        <c:lblOffset val="100"/>
        <c:noMultiLvlLbl val="0"/>
      </c:catAx>
      <c:valAx>
        <c:axId val="1317733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7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B.</a:t>
            </a:r>
            <a:r>
              <a:rPr lang="en-US" baseline="0"/>
              <a:t> violaceus - Low Abundance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'Extraction Optimization'!$A$103</c:f>
              <c:strCache>
                <c:ptCount val="1"/>
                <c:pt idx="0">
                  <c:v>24 hrs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Optimization'!$B$100:$M$102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  <c:lvl/>
              </c:multiLvlStrCache>
            </c:multiLvlStrRef>
          </c:cat>
          <c:val>
            <c:numRef>
              <c:f>'Extraction Optimization'!$B$103:$M$103</c:f>
              <c:numCache>
                <c:formatCode>0.00</c:formatCode>
                <c:ptCount val="12"/>
                <c:pt idx="0">
                  <c:v>29.683855000000001</c:v>
                </c:pt>
                <c:pt idx="1">
                  <c:v>29.835304000000001</c:v>
                </c:pt>
                <c:pt idx="2">
                  <c:v>29.950524999999999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E2-47F7-BD47-C9BA3C5D3F53}"/>
            </c:ext>
          </c:extLst>
        </c:ser>
        <c:ser>
          <c:idx val="1"/>
          <c:order val="1"/>
          <c:tx>
            <c:strRef>
              <c:f>'Extraction Optimization'!$A$104</c:f>
              <c:strCache>
                <c:ptCount val="1"/>
                <c:pt idx="0">
                  <c:v>2 hrs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Optimization'!$B$100:$M$102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  <c:lvl/>
              </c:multiLvlStrCache>
            </c:multiLvlStrRef>
          </c:cat>
          <c:val>
            <c:numRef>
              <c:f>'Extraction Optimization'!$B$104:$M$104</c:f>
              <c:numCache>
                <c:formatCode>General</c:formatCode>
                <c:ptCount val="12"/>
                <c:pt idx="3" formatCode="0.00">
                  <c:v>28.372121810913086</c:v>
                </c:pt>
                <c:pt idx="4" formatCode="0.00">
                  <c:v>28.928442001342773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2-47F7-BD47-C9BA3C5D3F53}"/>
            </c:ext>
          </c:extLst>
        </c:ser>
        <c:ser>
          <c:idx val="2"/>
          <c:order val="2"/>
          <c:tx>
            <c:strRef>
              <c:f>'Extraction Optimization'!$A$105</c:f>
              <c:strCache>
                <c:ptCount val="1"/>
                <c:pt idx="0">
                  <c:v>1 hr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Optimization'!$B$100:$M$102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  <c:lvl/>
              </c:multiLvlStrCache>
            </c:multiLvlStrRef>
          </c:cat>
          <c:val>
            <c:numRef>
              <c:f>'Extraction Optimization'!$B$105:$M$105</c:f>
              <c:numCache>
                <c:formatCode>General</c:formatCode>
                <c:ptCount val="12"/>
                <c:pt idx="5" formatCode="0.00">
                  <c:v>28.025640487670898</c:v>
                </c:pt>
                <c:pt idx="6" formatCode="0.00">
                  <c:v>28.986474990844727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E2-47F7-BD47-C9BA3C5D3F53}"/>
            </c:ext>
          </c:extLst>
        </c:ser>
        <c:ser>
          <c:idx val="3"/>
          <c:order val="3"/>
          <c:tx>
            <c:strRef>
              <c:f>'Extraction Optimization'!$A$106</c:f>
              <c:strCache>
                <c:ptCount val="1"/>
                <c:pt idx="0">
                  <c:v>0.5 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Optimization'!$B$100:$M$102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  <c:lvl/>
              </c:multiLvlStrCache>
            </c:multiLvlStrRef>
          </c:cat>
          <c:val>
            <c:numRef>
              <c:f>'Extraction Optimization'!$B$106:$M$106</c:f>
              <c:numCache>
                <c:formatCode>General</c:formatCode>
                <c:ptCount val="12"/>
                <c:pt idx="7" formatCode="0.00">
                  <c:v>28.785882949829102</c:v>
                </c:pt>
                <c:pt idx="8" formatCode="0.00">
                  <c:v>28.424814224243164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E2-47F7-BD47-C9BA3C5D3F53}"/>
            </c:ext>
          </c:extLst>
        </c:ser>
        <c:ser>
          <c:idx val="4"/>
          <c:order val="4"/>
          <c:tx>
            <c:strRef>
              <c:f>'Extraction Optimization'!$A$107</c:f>
              <c:strCache>
                <c:ptCount val="1"/>
                <c:pt idx="0">
                  <c:v>0.25 hr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Optimization'!$B$100:$M$102</c:f>
              <c:multiLvlStrCache>
                <c:ptCount val="12"/>
                <c:lvl>
                  <c:pt idx="0">
                    <c:v>44647</c:v>
                  </c:pt>
                  <c:pt idx="1">
                    <c:v>44648</c:v>
                  </c:pt>
                  <c:pt idx="2">
                    <c:v>44649</c:v>
                  </c:pt>
                  <c:pt idx="3">
                    <c:v>44651</c:v>
                  </c:pt>
                  <c:pt idx="4">
                    <c:v>44652</c:v>
                  </c:pt>
                  <c:pt idx="5">
                    <c:v>44653</c:v>
                  </c:pt>
                  <c:pt idx="6">
                    <c:v>44659</c:v>
                  </c:pt>
                  <c:pt idx="7">
                    <c:v>44660</c:v>
                  </c:pt>
                  <c:pt idx="8">
                    <c:v>44661</c:v>
                  </c:pt>
                  <c:pt idx="9">
                    <c:v>44668</c:v>
                  </c:pt>
                  <c:pt idx="10">
                    <c:v>44669</c:v>
                  </c:pt>
                  <c:pt idx="11">
                    <c:v>44670</c:v>
                  </c:pt>
                </c:lvl>
                <c:lvl/>
                <c:lvl/>
              </c:multiLvlStrCache>
            </c:multiLvlStrRef>
          </c:cat>
          <c:val>
            <c:numRef>
              <c:f>'Extraction Optimization'!$B$107:$M$107</c:f>
              <c:numCache>
                <c:formatCode>General</c:formatCode>
                <c:ptCount val="12"/>
                <c:pt idx="9" formatCode="0.00">
                  <c:v>28.952667236328125</c:v>
                </c:pt>
                <c:pt idx="10" formatCode="0.00">
                  <c:v>29.5516357421875</c:v>
                </c:pt>
                <c:pt idx="11" formatCode="0.00">
                  <c:v>29.359251022338867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E2-47F7-BD47-C9BA3C5D3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0217072"/>
        <c:axId val="1300214672"/>
      </c:barChart>
      <c:catAx>
        <c:axId val="130021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14672"/>
        <c:crosses val="autoZero"/>
        <c:auto val="1"/>
        <c:lblAlgn val="ctr"/>
        <c:lblOffset val="100"/>
        <c:noMultiLvlLbl val="0"/>
      </c:catAx>
      <c:valAx>
        <c:axId val="1300214672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1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Zebra</a:t>
            </a:r>
            <a:r>
              <a:rPr lang="en-US" baseline="0"/>
              <a:t> Mussel - Very Low Abundance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'Extraction Optimization'!$A$134</c:f>
              <c:strCache>
                <c:ptCount val="1"/>
                <c:pt idx="0">
                  <c:v>3 hr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Optimization'!$B$132:$K$133</c:f>
              <c:multiLvlStrCache>
                <c:ptCount val="10"/>
                <c:lvl>
                  <c:pt idx="0">
                    <c:v>B_06A</c:v>
                  </c:pt>
                  <c:pt idx="1">
                    <c:v>B_11A</c:v>
                  </c:pt>
                  <c:pt idx="2">
                    <c:v>B_16A</c:v>
                  </c:pt>
                  <c:pt idx="3">
                    <c:v>B_21A</c:v>
                  </c:pt>
                  <c:pt idx="4">
                    <c:v>B_30A</c:v>
                  </c:pt>
                  <c:pt idx="5">
                    <c:v>B_06B</c:v>
                  </c:pt>
                  <c:pt idx="6">
                    <c:v>B_11B</c:v>
                  </c:pt>
                  <c:pt idx="7">
                    <c:v>B_16B</c:v>
                  </c:pt>
                  <c:pt idx="8">
                    <c:v>B_21B</c:v>
                  </c:pt>
                  <c:pt idx="9">
                    <c:v>B_30B</c:v>
                  </c:pt>
                </c:lvl>
                <c:lvl/>
              </c:multiLvlStrCache>
            </c:multiLvlStrRef>
          </c:cat>
          <c:val>
            <c:numRef>
              <c:f>'Extraction Optimization'!$B$134:$K$134</c:f>
              <c:numCache>
                <c:formatCode>0.00</c:formatCode>
                <c:ptCount val="10"/>
                <c:pt idx="0">
                  <c:v>36.152672800000005</c:v>
                </c:pt>
                <c:pt idx="1">
                  <c:v>35.939774749999998</c:v>
                </c:pt>
                <c:pt idx="2">
                  <c:v>37.088626000000005</c:v>
                </c:pt>
                <c:pt idx="3">
                  <c:v>34.476025</c:v>
                </c:pt>
                <c:pt idx="4">
                  <c:v>36.398229499999992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0-4BD1-87C5-6B7AB8B6F05C}"/>
            </c:ext>
          </c:extLst>
        </c:ser>
        <c:ser>
          <c:idx val="1"/>
          <c:order val="1"/>
          <c:tx>
            <c:strRef>
              <c:f>'Extraction Optimization'!$A$135</c:f>
              <c:strCache>
                <c:ptCount val="1"/>
                <c:pt idx="0">
                  <c:v>1 hr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Optimization'!$B$132:$K$133</c:f>
              <c:multiLvlStrCache>
                <c:ptCount val="10"/>
                <c:lvl>
                  <c:pt idx="0">
                    <c:v>B_06A</c:v>
                  </c:pt>
                  <c:pt idx="1">
                    <c:v>B_11A</c:v>
                  </c:pt>
                  <c:pt idx="2">
                    <c:v>B_16A</c:v>
                  </c:pt>
                  <c:pt idx="3">
                    <c:v>B_21A</c:v>
                  </c:pt>
                  <c:pt idx="4">
                    <c:v>B_30A</c:v>
                  </c:pt>
                  <c:pt idx="5">
                    <c:v>B_06B</c:v>
                  </c:pt>
                  <c:pt idx="6">
                    <c:v>B_11B</c:v>
                  </c:pt>
                  <c:pt idx="7">
                    <c:v>B_16B</c:v>
                  </c:pt>
                  <c:pt idx="8">
                    <c:v>B_21B</c:v>
                  </c:pt>
                  <c:pt idx="9">
                    <c:v>B_30B</c:v>
                  </c:pt>
                </c:lvl>
                <c:lvl/>
              </c:multiLvlStrCache>
            </c:multiLvlStrRef>
          </c:cat>
          <c:val>
            <c:numRef>
              <c:f>'Extraction Optimization'!$B$135:$K$135</c:f>
              <c:numCache>
                <c:formatCode>General</c:formatCode>
                <c:ptCount val="10"/>
                <c:pt idx="5" formatCode="0.00">
                  <c:v>37.339698791503906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0-4BD1-87C5-6B7AB8B6F05C}"/>
            </c:ext>
          </c:extLst>
        </c:ser>
        <c:ser>
          <c:idx val="2"/>
          <c:order val="2"/>
          <c:tx>
            <c:strRef>
              <c:f>'Extraction Optimization'!$A$136</c:f>
              <c:strCache>
                <c:ptCount val="1"/>
                <c:pt idx="0">
                  <c:v>0.5 hr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Optimization'!$B$132:$K$133</c:f>
              <c:multiLvlStrCache>
                <c:ptCount val="10"/>
                <c:lvl>
                  <c:pt idx="0">
                    <c:v>B_06A</c:v>
                  </c:pt>
                  <c:pt idx="1">
                    <c:v>B_11A</c:v>
                  </c:pt>
                  <c:pt idx="2">
                    <c:v>B_16A</c:v>
                  </c:pt>
                  <c:pt idx="3">
                    <c:v>B_21A</c:v>
                  </c:pt>
                  <c:pt idx="4">
                    <c:v>B_30A</c:v>
                  </c:pt>
                  <c:pt idx="5">
                    <c:v>B_06B</c:v>
                  </c:pt>
                  <c:pt idx="6">
                    <c:v>B_11B</c:v>
                  </c:pt>
                  <c:pt idx="7">
                    <c:v>B_16B</c:v>
                  </c:pt>
                  <c:pt idx="8">
                    <c:v>B_21B</c:v>
                  </c:pt>
                  <c:pt idx="9">
                    <c:v>B_30B</c:v>
                  </c:pt>
                </c:lvl>
                <c:lvl/>
              </c:multiLvlStrCache>
            </c:multiLvlStrRef>
          </c:cat>
          <c:val>
            <c:numRef>
              <c:f>'Extraction Optimization'!$B$136:$K$136</c:f>
              <c:numCache>
                <c:formatCode>General</c:formatCode>
                <c:ptCount val="10"/>
                <c:pt idx="6" formatCode="0.00">
                  <c:v>37.027652740478516</c:v>
                </c:pt>
                <c:pt idx="7" formatCode="0.00">
                  <c:v>36.451797485351563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0-4BD1-87C5-6B7AB8B6F05C}"/>
            </c:ext>
          </c:extLst>
        </c:ser>
        <c:ser>
          <c:idx val="3"/>
          <c:order val="3"/>
          <c:tx>
            <c:strRef>
              <c:f>'Extraction Optimization'!$A$137</c:f>
              <c:strCache>
                <c:ptCount val="1"/>
                <c:pt idx="0">
                  <c:v>0.25 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'Extraction Optimization'!$B$132:$K$133</c:f>
              <c:multiLvlStrCache>
                <c:ptCount val="10"/>
                <c:lvl>
                  <c:pt idx="0">
                    <c:v>B_06A</c:v>
                  </c:pt>
                  <c:pt idx="1">
                    <c:v>B_11A</c:v>
                  </c:pt>
                  <c:pt idx="2">
                    <c:v>B_16A</c:v>
                  </c:pt>
                  <c:pt idx="3">
                    <c:v>B_21A</c:v>
                  </c:pt>
                  <c:pt idx="4">
                    <c:v>B_30A</c:v>
                  </c:pt>
                  <c:pt idx="5">
                    <c:v>B_06B</c:v>
                  </c:pt>
                  <c:pt idx="6">
                    <c:v>B_11B</c:v>
                  </c:pt>
                  <c:pt idx="7">
                    <c:v>B_16B</c:v>
                  </c:pt>
                  <c:pt idx="8">
                    <c:v>B_21B</c:v>
                  </c:pt>
                  <c:pt idx="9">
                    <c:v>B_30B</c:v>
                  </c:pt>
                </c:lvl>
                <c:lvl/>
              </c:multiLvlStrCache>
            </c:multiLvlStrRef>
          </c:cat>
          <c:val>
            <c:numRef>
              <c:f>'Extraction Optimization'!$B$137:$K$137</c:f>
              <c:numCache>
                <c:formatCode>General</c:formatCode>
                <c:ptCount val="10"/>
                <c:pt idx="8" formatCode="0.00">
                  <c:v>35.792873382568359</c:v>
                </c:pt>
                <c:pt idx="9" formatCode="0.00">
                  <c:v>36.795833587646484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0-4BD1-87C5-6B7AB8B6F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0679200"/>
        <c:axId val="920673440"/>
      </c:barChart>
      <c:catAx>
        <c:axId val="9206792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673440"/>
        <c:crosses val="autoZero"/>
        <c:auto val="1"/>
        <c:lblAlgn val="ctr"/>
        <c:lblOffset val="100"/>
        <c:noMultiLvlLbl val="0"/>
      </c:catAx>
      <c:valAx>
        <c:axId val="9206734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067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QuantStudio 7 Flex vs Liberty 16</a:t>
            </a:r>
            <a:r>
              <a:rPr lang="en-US" baseline="0"/>
              <a:t> Detection Sensitivity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'Mobile vs Lab'!$D$46</c:f>
              <c:strCache>
                <c:ptCount val="1"/>
                <c:pt idx="0">
                  <c:v>QS7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'Mobile vs Lab'!$C$47:$C$54</c:f>
              <c:numCache>
                <c:formatCode>General</c:formatCode>
                <c:ptCount val="8"/>
                <c:pt idx="0">
                  <c:v>3000000</c:v>
                </c:pt>
                <c:pt idx="1">
                  <c:v>30000</c:v>
                </c:pt>
                <c:pt idx="2">
                  <c:v>300</c:v>
                </c:pt>
                <c:pt idx="3">
                  <c:v>3</c:v>
                </c:pt>
                <c:pt idx="4" formatCode="0">
                  <c:v>6</c:v>
                </c:pt>
                <c:pt idx="5" formatCode="0">
                  <c:v>3</c:v>
                </c:pt>
                <c:pt idx="6" formatCode="0.00">
                  <c:v>1.5</c:v>
                </c:pt>
                <c:pt idx="7" formatCode="0.00">
                  <c:v>0.75</c:v>
                </c:pt>
              </c:numCache>
            </c:numRef>
          </c:cat>
          <c:val>
            <c:numRef>
              <c:f>'Mobile vs Lab'!$D$47:$D$54</c:f>
              <c:numCache>
                <c:formatCode>0.00</c:formatCode>
                <c:ptCount val="8"/>
                <c:pt idx="0">
                  <c:v>16.89</c:v>
                </c:pt>
                <c:pt idx="1">
                  <c:v>25.094757333333334</c:v>
                </c:pt>
                <c:pt idx="2">
                  <c:v>31.597363333333334</c:v>
                </c:pt>
                <c:pt idx="3">
                  <c:v>37.915956000000001</c:v>
                </c:pt>
                <c:pt idx="4">
                  <c:v>37.237251500000006</c:v>
                </c:pt>
                <c:pt idx="5">
                  <c:v>37.366139384615387</c:v>
                </c:pt>
                <c:pt idx="6">
                  <c:v>38.242415999999999</c:v>
                </c:pt>
                <c:pt idx="7">
                  <c:v>38.276410285714292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C-4D66-9FB4-C99E7F3EE6B6}"/>
            </c:ext>
          </c:extLst>
        </c:ser>
        <c:ser>
          <c:idx val="1"/>
          <c:order val="1"/>
          <c:tx>
            <c:strRef>
              <c:f>'Mobile vs Lab'!$E$46</c:f>
              <c:strCache>
                <c:ptCount val="1"/>
                <c:pt idx="0">
                  <c:v>Liberty 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'Mobile vs Lab'!$C$47:$C$54</c:f>
              <c:numCache>
                <c:formatCode>General</c:formatCode>
                <c:ptCount val="8"/>
                <c:pt idx="0">
                  <c:v>3000000</c:v>
                </c:pt>
                <c:pt idx="1">
                  <c:v>30000</c:v>
                </c:pt>
                <c:pt idx="2">
                  <c:v>300</c:v>
                </c:pt>
                <c:pt idx="3">
                  <c:v>3</c:v>
                </c:pt>
                <c:pt idx="4" formatCode="0">
                  <c:v>6</c:v>
                </c:pt>
                <c:pt idx="5" formatCode="0">
                  <c:v>3</c:v>
                </c:pt>
                <c:pt idx="6" formatCode="0.00">
                  <c:v>1.5</c:v>
                </c:pt>
                <c:pt idx="7" formatCode="0.00">
                  <c:v>0.75</c:v>
                </c:pt>
              </c:numCache>
            </c:numRef>
          </c:cat>
          <c:val>
            <c:numRef>
              <c:f>'Mobile vs Lab'!$E$47:$E$54</c:f>
              <c:numCache>
                <c:formatCode>0.00</c:formatCode>
                <c:ptCount val="8"/>
                <c:pt idx="0">
                  <c:v>18.37</c:v>
                </c:pt>
                <c:pt idx="1">
                  <c:v>25.945</c:v>
                </c:pt>
                <c:pt idx="2">
                  <c:v>32.094999999999999</c:v>
                </c:pt>
                <c:pt idx="3">
                  <c:v>39.375</c:v>
                </c:pt>
                <c:pt idx="4">
                  <c:v>39.113846153846154</c:v>
                </c:pt>
                <c:pt idx="5">
                  <c:v>39.74</c:v>
                </c:pt>
                <c:pt idx="6">
                  <c:v>40.063333333333333</c:v>
                </c:pt>
                <c:pt idx="7">
                  <c:v>39.305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7C-4D66-9FB4-C99E7F3EE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5034112"/>
        <c:axId val="1125033632"/>
      </c:lineChart>
      <c:catAx>
        <c:axId val="1125034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Standards (copies/reaction</a:t>
                </a:r>
                <a:r>
                  <a:rPr lang="en-US" sz="1100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33632"/>
        <c:crosses val="autoZero"/>
        <c:auto val="1"/>
        <c:lblAlgn val="ctr"/>
        <c:lblOffset val="100"/>
        <c:noMultiLvlLbl val="0"/>
      </c:catAx>
      <c:valAx>
        <c:axId val="1125033632"/>
        <c:scaling>
          <c:orientation val="minMax"/>
          <c:min val="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1.3104011413903485E-2"/>
              <c:y val="0.40959504410225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QuantStudio</a:t>
            </a:r>
            <a:r>
              <a:rPr lang="en-US" baseline="0"/>
              <a:t> 7 Flex vs Liberty 16 Performance Comparison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'Mobile vs Lab'!$C$12</c:f>
              <c:strCache>
                <c:ptCount val="1"/>
                <c:pt idx="0">
                  <c:v>B. schlosseri QS7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Lab'!$C$13:$C$18</c:f>
              <c:numCache>
                <c:formatCode>0.00</c:formatCode>
                <c:ptCount val="6"/>
                <c:pt idx="0">
                  <c:v>27.310000000000002</c:v>
                </c:pt>
                <c:pt idx="1">
                  <c:v>29.938666666666666</c:v>
                </c:pt>
                <c:pt idx="2">
                  <c:v>29.963999999999999</c:v>
                </c:pt>
                <c:pt idx="3">
                  <c:v>19.715666666666667</c:v>
                </c:pt>
                <c:pt idx="4">
                  <c:v>21.39</c:v>
                </c:pt>
                <c:pt idx="5">
                  <c:v>23.603666666666669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CE-48EE-A12B-6EC4161CB252}"/>
            </c:ext>
          </c:extLst>
        </c:ser>
        <c:ser>
          <c:idx val="1"/>
          <c:order val="1"/>
          <c:tx>
            <c:strRef>
              <c:f>'Mobile vs Lab'!$D$12</c:f>
              <c:strCache>
                <c:ptCount val="1"/>
                <c:pt idx="0">
                  <c:v>B. schlosseri Liberty 16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Lab'!$D$13:$D$18</c:f>
              <c:numCache>
                <c:formatCode>0.00</c:formatCode>
                <c:ptCount val="6"/>
                <c:pt idx="0">
                  <c:v>28.74</c:v>
                </c:pt>
                <c:pt idx="1">
                  <c:v>31.286666666666662</c:v>
                </c:pt>
                <c:pt idx="2">
                  <c:v>31.189999999999998</c:v>
                </c:pt>
                <c:pt idx="3">
                  <c:v>20.83666666666667</c:v>
                </c:pt>
                <c:pt idx="4">
                  <c:v>22.48</c:v>
                </c:pt>
                <c:pt idx="5">
                  <c:v>25.060000000000002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CE-48EE-A12B-6EC4161CB252}"/>
            </c:ext>
          </c:extLst>
        </c:ser>
        <c:ser>
          <c:idx val="2"/>
          <c:order val="2"/>
          <c:tx>
            <c:strRef>
              <c:f>'Mobile vs Lab'!$E$12</c:f>
              <c:strCache>
                <c:ptCount val="1"/>
                <c:pt idx="0">
                  <c:v>C. intestinalis QS7</c:v>
                </c:pt>
              </c:strCache>
            </c:strRef>
          </c:tx>
          <c:spPr>
            <a:pattFill prst="dkUpDiag">
              <a:fgClr>
                <a:schemeClr val="accent4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tx2">
                  <a:lumMod val="75000"/>
                  <a:lumOff val="25000"/>
                </a:schemeClr>
              </a:solidFill>
            </a:ln>
            <a:effectLst/>
          </c:spPr>
          <c:invertIfNegative val="0"/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Lab'!$E$13:$E$18</c:f>
              <c:numCache>
                <c:formatCode>0.00</c:formatCode>
                <c:ptCount val="6"/>
                <c:pt idx="0">
                  <c:v>24.273</c:v>
                </c:pt>
                <c:pt idx="1">
                  <c:v>21.806999999999999</c:v>
                </c:pt>
                <c:pt idx="2">
                  <c:v>21.768000000000001</c:v>
                </c:pt>
                <c:pt idx="3">
                  <c:v>18.405999999999999</c:v>
                </c:pt>
                <c:pt idx="4">
                  <c:v>19.861999999999998</c:v>
                </c:pt>
                <c:pt idx="5">
                  <c:v>22.207000000000001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CE-48EE-A12B-6EC4161CB252}"/>
            </c:ext>
          </c:extLst>
        </c:ser>
        <c:ser>
          <c:idx val="3"/>
          <c:order val="3"/>
          <c:tx>
            <c:strRef>
              <c:f>'Mobile vs Lab'!$F$12</c:f>
              <c:strCache>
                <c:ptCount val="1"/>
                <c:pt idx="0">
                  <c:v>C. intestinalis Liberty 16</c:v>
                </c:pt>
              </c:strCache>
            </c:strRef>
          </c:tx>
          <c:spPr>
            <a:pattFill prst="dkUp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Lab'!$F$13:$F$18</c:f>
              <c:numCache>
                <c:formatCode>0.00</c:formatCode>
                <c:ptCount val="6"/>
                <c:pt idx="0">
                  <c:v>25.27</c:v>
                </c:pt>
                <c:pt idx="1">
                  <c:v>23.013333333333335</c:v>
                </c:pt>
                <c:pt idx="2">
                  <c:v>22.840000000000003</c:v>
                </c:pt>
                <c:pt idx="3">
                  <c:v>19.66</c:v>
                </c:pt>
                <c:pt idx="4">
                  <c:v>20.945</c:v>
                </c:pt>
                <c:pt idx="5">
                  <c:v>23.564999999999998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CE-48EE-A12B-6EC4161C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97700640"/>
        <c:axId val="1297701600"/>
      </c:barChart>
      <c:catAx>
        <c:axId val="129770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701600"/>
        <c:crosses val="autoZero"/>
        <c:auto val="1"/>
        <c:lblAlgn val="ctr"/>
        <c:lblOffset val="100"/>
        <c:noMultiLvlLbl val="0"/>
      </c:catAx>
      <c:valAx>
        <c:axId val="1297701600"/>
        <c:scaling>
          <c:orientation val="minMax"/>
          <c:min val="15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70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'Mobile vs Lab'!$C$12</c:f>
              <c:strCache>
                <c:ptCount val="1"/>
                <c:pt idx="0">
                  <c:v>B. schlosseri QS7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Lab'!$C$13:$C$18</c:f>
              <c:numCache>
                <c:formatCode>0.00</c:formatCode>
                <c:ptCount val="6"/>
                <c:pt idx="0">
                  <c:v>27.310000000000002</c:v>
                </c:pt>
                <c:pt idx="1">
                  <c:v>29.938666666666666</c:v>
                </c:pt>
                <c:pt idx="2">
                  <c:v>29.963999999999999</c:v>
                </c:pt>
                <c:pt idx="3">
                  <c:v>19.715666666666667</c:v>
                </c:pt>
                <c:pt idx="4">
                  <c:v>21.39</c:v>
                </c:pt>
                <c:pt idx="5">
                  <c:v>23.603666666666669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C-4452-81E8-88FB0304CEF1}"/>
            </c:ext>
          </c:extLst>
        </c:ser>
        <c:ser>
          <c:idx val="1"/>
          <c:order val="1"/>
          <c:tx>
            <c:strRef>
              <c:f>'Mobile vs Lab'!$D$12</c:f>
              <c:strCache>
                <c:ptCount val="1"/>
                <c:pt idx="0">
                  <c:v>B. schlosseri Liberty 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Lab'!$D$13:$D$18</c:f>
              <c:numCache>
                <c:formatCode>0.00</c:formatCode>
                <c:ptCount val="6"/>
                <c:pt idx="0">
                  <c:v>28.74</c:v>
                </c:pt>
                <c:pt idx="1">
                  <c:v>31.286666666666662</c:v>
                </c:pt>
                <c:pt idx="2">
                  <c:v>31.189999999999998</c:v>
                </c:pt>
                <c:pt idx="3">
                  <c:v>20.83666666666667</c:v>
                </c:pt>
                <c:pt idx="4">
                  <c:v>22.48</c:v>
                </c:pt>
                <c:pt idx="5">
                  <c:v>25.060000000000002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5C-4452-81E8-88FB0304CEF1}"/>
            </c:ext>
          </c:extLst>
        </c:ser>
        <c:ser>
          <c:idx val="2"/>
          <c:order val="2"/>
          <c:tx>
            <c:strRef>
              <c:f>'Mobile vs Lab'!$E$12</c:f>
              <c:strCache>
                <c:ptCount val="1"/>
                <c:pt idx="0">
                  <c:v>C. intestinalis QS7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Lab'!$E$13:$E$18</c:f>
              <c:numCache>
                <c:formatCode>0.00</c:formatCode>
                <c:ptCount val="6"/>
                <c:pt idx="0">
                  <c:v>24.273</c:v>
                </c:pt>
                <c:pt idx="1">
                  <c:v>21.806999999999999</c:v>
                </c:pt>
                <c:pt idx="2">
                  <c:v>21.768000000000001</c:v>
                </c:pt>
                <c:pt idx="3">
                  <c:v>18.405999999999999</c:v>
                </c:pt>
                <c:pt idx="4">
                  <c:v>19.861999999999998</c:v>
                </c:pt>
                <c:pt idx="5">
                  <c:v>22.207000000000001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5C-4452-81E8-88FB0304CEF1}"/>
            </c:ext>
          </c:extLst>
        </c:ser>
        <c:ser>
          <c:idx val="3"/>
          <c:order val="3"/>
          <c:tx>
            <c:strRef>
              <c:f>'Mobile vs Lab'!$F$12</c:f>
              <c:strCache>
                <c:ptCount val="1"/>
                <c:pt idx="0">
                  <c:v>C. intestinalis Liberty 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'Mobile vs Lab'!$B$13:$B$18</c:f>
              <c:numCache>
                <c:formatCode>General</c:formatCode>
                <c:ptCount val="6"/>
                <c:pt idx="0">
                  <c:v>44647</c:v>
                </c:pt>
                <c:pt idx="1">
                  <c:v>44648</c:v>
                </c:pt>
                <c:pt idx="2">
                  <c:v>44649</c:v>
                </c:pt>
                <c:pt idx="3">
                  <c:v>44673</c:v>
                </c:pt>
                <c:pt idx="4">
                  <c:v>44674</c:v>
                </c:pt>
                <c:pt idx="5">
                  <c:v>44675</c:v>
                </c:pt>
              </c:numCache>
            </c:numRef>
          </c:cat>
          <c:val>
            <c:numRef>
              <c:f>'Mobile vs Lab'!$F$13:$F$18</c:f>
              <c:numCache>
                <c:formatCode>0.00</c:formatCode>
                <c:ptCount val="6"/>
                <c:pt idx="0">
                  <c:v>25.27</c:v>
                </c:pt>
                <c:pt idx="1">
                  <c:v>23.013333333333335</c:v>
                </c:pt>
                <c:pt idx="2">
                  <c:v>22.840000000000003</c:v>
                </c:pt>
                <c:pt idx="3">
                  <c:v>19.66</c:v>
                </c:pt>
                <c:pt idx="4">
                  <c:v>20.945</c:v>
                </c:pt>
                <c:pt idx="5">
                  <c:v>23.564999999999998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5C-4452-81E8-88FB0304C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0963040"/>
        <c:axId val="1020961120"/>
      </c:lineChart>
      <c:catAx>
        <c:axId val="1020963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Sample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s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961120"/>
        <c:crosses val="autoZero"/>
        <c:auto val="1"/>
        <c:lblAlgn val="ctr"/>
        <c:lblOffset val="100"/>
        <c:noMultiLvlLbl val="0"/>
      </c:catAx>
      <c:valAx>
        <c:axId val="1020961120"/>
        <c:scaling>
          <c:orientation val="minMax"/>
          <c:min val="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96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 Test on Small</a:t>
            </a:r>
            <a:r>
              <a:rPr lang="en-US" baseline="0"/>
              <a:t> Vessel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'Mobile vs Lab'!$C$66</c:f>
              <c:strCache>
                <c:ptCount val="1"/>
                <c:pt idx="0">
                  <c:v>Row 1                    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'Mobile vs Lab'!$A$67:$A$74</c:f>
              <c:strCache>
                <c:ptCount val="8"/>
                <c:pt idx="0">
                  <c:v>Std 10^1</c:v>
                </c:pt>
                <c:pt idx="1">
                  <c:v>Std 10^2</c:v>
                </c:pt>
                <c:pt idx="2">
                  <c:v>Std 10^3</c:v>
                </c:pt>
                <c:pt idx="3">
                  <c:v>Std 10^4</c:v>
                </c:pt>
                <c:pt idx="4">
                  <c:v>Std 10^5</c:v>
                </c:pt>
                <c:pt idx="5">
                  <c:v>Std 10^6</c:v>
                </c:pt>
                <c:pt idx="6">
                  <c:v>Std 10^7</c:v>
                </c:pt>
                <c:pt idx="7">
                  <c:v>Std 10^8</c:v>
                </c:pt>
              </c:strCache>
            </c:strRef>
          </c:cat>
          <c:val>
            <c:numRef>
              <c:f>'Mobile vs Lab'!$C$67:$C$74</c:f>
              <c:numCache>
                <c:formatCode>General</c:formatCode>
                <c:ptCount val="8"/>
                <c:pt idx="0">
                  <c:v>35.9</c:v>
                </c:pt>
                <c:pt idx="1">
                  <c:v>32.200000000000003</c:v>
                </c:pt>
                <c:pt idx="2">
                  <c:v>28.7</c:v>
                </c:pt>
                <c:pt idx="3">
                  <c:v>25.1</c:v>
                </c:pt>
                <c:pt idx="4">
                  <c:v>21.7</c:v>
                </c:pt>
                <c:pt idx="5">
                  <c:v>18.399999999999999</c:v>
                </c:pt>
                <c:pt idx="6">
                  <c:v>14.9</c:v>
                </c:pt>
                <c:pt idx="7">
                  <c:v>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6-4C67-A691-29A05E324BB4}"/>
            </c:ext>
          </c:extLst>
        </c:ser>
        <c:ser>
          <c:idx val="1"/>
          <c:order val="1"/>
          <c:tx>
            <c:strRef>
              <c:f>'Mobile vs Lab'!$D$66</c:f>
              <c:strCache>
                <c:ptCount val="1"/>
                <c:pt idx="0">
                  <c:v>Row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'Mobile vs Lab'!$A$67:$A$74</c:f>
              <c:strCache>
                <c:ptCount val="8"/>
                <c:pt idx="0">
                  <c:v>Std 10^1</c:v>
                </c:pt>
                <c:pt idx="1">
                  <c:v>Std 10^2</c:v>
                </c:pt>
                <c:pt idx="2">
                  <c:v>Std 10^3</c:v>
                </c:pt>
                <c:pt idx="3">
                  <c:v>Std 10^4</c:v>
                </c:pt>
                <c:pt idx="4">
                  <c:v>Std 10^5</c:v>
                </c:pt>
                <c:pt idx="5">
                  <c:v>Std 10^6</c:v>
                </c:pt>
                <c:pt idx="6">
                  <c:v>Std 10^7</c:v>
                </c:pt>
                <c:pt idx="7">
                  <c:v>Std 10^8</c:v>
                </c:pt>
              </c:strCache>
            </c:strRef>
          </c:cat>
          <c:val>
            <c:numRef>
              <c:f>'Mobile vs Lab'!$D$67:$D$74</c:f>
              <c:numCache>
                <c:formatCode>General</c:formatCode>
                <c:ptCount val="8"/>
                <c:pt idx="0">
                  <c:v>35.799999999999997</c:v>
                </c:pt>
                <c:pt idx="1">
                  <c:v>32.1</c:v>
                </c:pt>
                <c:pt idx="2">
                  <c:v>28.7</c:v>
                </c:pt>
                <c:pt idx="3">
                  <c:v>25</c:v>
                </c:pt>
                <c:pt idx="4">
                  <c:v>21.6</c:v>
                </c:pt>
                <c:pt idx="5">
                  <c:v>18.3</c:v>
                </c:pt>
                <c:pt idx="6">
                  <c:v>14.9</c:v>
                </c:pt>
                <c:pt idx="7">
                  <c:v>11.4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6-4C67-A691-29A05E324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4922160"/>
        <c:axId val="1814923120"/>
      </c:barChart>
      <c:catAx>
        <c:axId val="1814922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Standard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923120"/>
        <c:crosses val="autoZero"/>
        <c:auto val="1"/>
        <c:lblAlgn val="ctr"/>
        <c:lblOffset val="100"/>
        <c:noMultiLvlLbl val="0"/>
      </c:catAx>
      <c:valAx>
        <c:axId val="18149231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92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eDNA</a:t>
            </a:r>
            <a:r>
              <a:rPr lang="en-US" baseline="0"/>
              <a:t> Room Temp. Incubation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'eDNA and Assay Stability'!$I$36</c:f>
              <c:strCache>
                <c:ptCount val="1"/>
                <c:pt idx="0">
                  <c:v>0hr 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'eDNA and Assay Stability'!$J$35:$L$35</c:f>
              <c:strCache>
                <c:ptCount val="3"/>
                <c:pt idx="0">
                  <c:v>Hull eDNA 015</c:v>
                </c:pt>
                <c:pt idx="1">
                  <c:v>Hull eDNA 017</c:v>
                </c:pt>
                <c:pt idx="2">
                  <c:v>Hull eDNA 019</c:v>
                </c:pt>
              </c:strCache>
            </c:strRef>
          </c:cat>
          <c:val>
            <c:numRef>
              <c:f>'eDNA and Assay Stability'!$J$36:$L$36</c:f>
              <c:numCache>
                <c:formatCode>0.00</c:formatCode>
                <c:ptCount val="3"/>
                <c:pt idx="0">
                  <c:v>24.195350646972656</c:v>
                </c:pt>
                <c:pt idx="1">
                  <c:v>24.206628799438477</c:v>
                </c:pt>
                <c:pt idx="2">
                  <c:v>27.234306335449201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0-4DFC-94D9-8E6A2BEE9841}"/>
            </c:ext>
          </c:extLst>
        </c:ser>
        <c:ser>
          <c:idx val="1"/>
          <c:order val="1"/>
          <c:tx>
            <c:strRef>
              <c:f>'eDNA and Assay Stability'!$I$37</c:f>
              <c:strCache>
                <c:ptCount val="1"/>
                <c:pt idx="0">
                  <c:v>24hr 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'eDNA and Assay Stability'!$J$35:$L$35</c:f>
              <c:strCache>
                <c:ptCount val="3"/>
                <c:pt idx="0">
                  <c:v>Hull eDNA 015</c:v>
                </c:pt>
                <c:pt idx="1">
                  <c:v>Hull eDNA 017</c:v>
                </c:pt>
                <c:pt idx="2">
                  <c:v>Hull eDNA 019</c:v>
                </c:pt>
              </c:strCache>
            </c:strRef>
          </c:cat>
          <c:val>
            <c:numRef>
              <c:f>'eDNA and Assay Stability'!$J$37:$L$37</c:f>
              <c:numCache>
                <c:formatCode>0.00</c:formatCode>
                <c:ptCount val="3"/>
                <c:pt idx="0">
                  <c:v>24.112325668334961</c:v>
                </c:pt>
                <c:pt idx="1">
                  <c:v>24.189680099487305</c:v>
                </c:pt>
                <c:pt idx="2">
                  <c:v>27.223091125488281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80-4DFC-94D9-8E6A2BEE9841}"/>
            </c:ext>
          </c:extLst>
        </c:ser>
        <c:ser>
          <c:idx val="2"/>
          <c:order val="2"/>
          <c:tx>
            <c:strRef>
              <c:f>'eDNA and Assay Stability'!$I$38</c:f>
              <c:strCache>
                <c:ptCount val="1"/>
                <c:pt idx="0">
                  <c:v>48hr 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'eDNA and Assay Stability'!$J$35:$L$35</c:f>
              <c:strCache>
                <c:ptCount val="3"/>
                <c:pt idx="0">
                  <c:v>Hull eDNA 015</c:v>
                </c:pt>
                <c:pt idx="1">
                  <c:v>Hull eDNA 017</c:v>
                </c:pt>
                <c:pt idx="2">
                  <c:v>Hull eDNA 019</c:v>
                </c:pt>
              </c:strCache>
            </c:strRef>
          </c:cat>
          <c:val>
            <c:numRef>
              <c:f>'eDNA and Assay Stability'!$J$38:$L$38</c:f>
              <c:numCache>
                <c:formatCode>0.00</c:formatCode>
                <c:ptCount val="3"/>
                <c:pt idx="0">
                  <c:v>24.18743896484375</c:v>
                </c:pt>
                <c:pt idx="1">
                  <c:v>24.36700439453125</c:v>
                </c:pt>
                <c:pt idx="2">
                  <c:v>27.121374130249023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80-4DFC-94D9-8E6A2BEE9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2199360"/>
        <c:axId val="842210880"/>
      </c:barChart>
      <c:catAx>
        <c:axId val="84219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210880"/>
        <c:crosses val="autoZero"/>
        <c:auto val="1"/>
        <c:lblAlgn val="ctr"/>
        <c:lblOffset val="100"/>
        <c:noMultiLvlLbl val="0"/>
      </c:catAx>
      <c:valAx>
        <c:axId val="84221088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19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</a:t>
            </a:r>
            <a:r>
              <a:rPr lang="en-US" baseline="0"/>
              <a:t> month at 4C eDNA Comparison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05529270377456"/>
          <c:y val="0.10427525251032407"/>
          <c:w val="0.78100475673722913"/>
          <c:h val="0.693032486366489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'eDNA and Assay Stability'!$L$3</c:f>
              <c:strCache>
                <c:ptCount val="1"/>
                <c:pt idx="0">
                  <c:v>0 Months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'eDNA and Assay Stability'!$M$2:$U$2</c:f>
              <c:strCache>
                <c:ptCount val="9"/>
                <c:pt idx="0">
                  <c:v>44647</c:v>
                </c:pt>
                <c:pt idx="1">
                  <c:v>44655</c:v>
                </c:pt>
                <c:pt idx="2">
                  <c:v>44673</c:v>
                </c:pt>
                <c:pt idx="3">
                  <c:v>44675</c:v>
                </c:pt>
                <c:pt idx="4">
                  <c:v>B-06</c:v>
                </c:pt>
                <c:pt idx="5">
                  <c:v>B-11</c:v>
                </c:pt>
                <c:pt idx="6">
                  <c:v>B-16</c:v>
                </c:pt>
                <c:pt idx="7">
                  <c:v>B-21</c:v>
                </c:pt>
                <c:pt idx="8">
                  <c:v>B-30</c:v>
                </c:pt>
              </c:strCache>
            </c:strRef>
          </c:cat>
          <c:val>
            <c:numRef>
              <c:f>'eDNA and Assay Stability'!$M$3:$U$3</c:f>
              <c:numCache>
                <c:formatCode>0.00</c:formatCode>
                <c:ptCount val="9"/>
                <c:pt idx="0">
                  <c:v>25.6</c:v>
                </c:pt>
                <c:pt idx="1">
                  <c:v>31.48</c:v>
                </c:pt>
                <c:pt idx="2">
                  <c:v>17.879417</c:v>
                </c:pt>
                <c:pt idx="3">
                  <c:v>22.45</c:v>
                </c:pt>
                <c:pt idx="4">
                  <c:v>37.339698791503906</c:v>
                </c:pt>
                <c:pt idx="5">
                  <c:v>37.027652740478516</c:v>
                </c:pt>
                <c:pt idx="6">
                  <c:v>36.451797485351563</c:v>
                </c:pt>
                <c:pt idx="7">
                  <c:v>35.792873382568359</c:v>
                </c:pt>
                <c:pt idx="8">
                  <c:v>36.795833587646484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D7-49BF-BCE8-9362C92BA8B0}"/>
            </c:ext>
          </c:extLst>
        </c:ser>
        <c:ser>
          <c:idx val="1"/>
          <c:order val="1"/>
          <c:tx>
            <c:strRef>
              <c:f>'eDNA and Assay Stability'!$L$4</c:f>
              <c:strCache>
                <c:ptCount val="1"/>
                <c:pt idx="0">
                  <c:v>3 Months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'eDNA and Assay Stability'!$M$2:$U$2</c:f>
              <c:strCache>
                <c:ptCount val="9"/>
                <c:pt idx="0">
                  <c:v>44647</c:v>
                </c:pt>
                <c:pt idx="1">
                  <c:v>44655</c:v>
                </c:pt>
                <c:pt idx="2">
                  <c:v>44673</c:v>
                </c:pt>
                <c:pt idx="3">
                  <c:v>44675</c:v>
                </c:pt>
                <c:pt idx="4">
                  <c:v>B-06</c:v>
                </c:pt>
                <c:pt idx="5">
                  <c:v>B-11</c:v>
                </c:pt>
                <c:pt idx="6">
                  <c:v>B-16</c:v>
                </c:pt>
                <c:pt idx="7">
                  <c:v>B-21</c:v>
                </c:pt>
                <c:pt idx="8">
                  <c:v>B-30</c:v>
                </c:pt>
              </c:strCache>
            </c:strRef>
          </c:cat>
          <c:val>
            <c:numRef>
              <c:f>'eDNA and Assay Stability'!$M$4:$U$4</c:f>
              <c:numCache>
                <c:formatCode>0.00</c:formatCode>
                <c:ptCount val="9"/>
                <c:pt idx="0">
                  <c:v>25.45</c:v>
                </c:pt>
                <c:pt idx="1">
                  <c:v>31.42</c:v>
                </c:pt>
                <c:pt idx="2">
                  <c:v>17.415357499999999</c:v>
                </c:pt>
                <c:pt idx="3">
                  <c:v>21.6</c:v>
                </c:pt>
                <c:pt idx="4">
                  <c:v>37.731658935546875</c:v>
                </c:pt>
                <c:pt idx="5">
                  <c:v>37.587776184082031</c:v>
                </c:pt>
                <c:pt idx="6">
                  <c:v>35.978355407714844</c:v>
                </c:pt>
                <c:pt idx="7">
                  <c:v>36.041580200195313</c:v>
                </c:pt>
                <c:pt idx="8">
                  <c:v>36.605941772460938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D7-49BF-BCE8-9362C92BA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5752784"/>
        <c:axId val="1165754224"/>
      </c:barChart>
      <c:catAx>
        <c:axId val="116575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754224"/>
        <c:crosses val="autoZero"/>
        <c:auto val="1"/>
        <c:lblAlgn val="ctr"/>
        <c:lblOffset val="100"/>
        <c:noMultiLvlLbl val="0"/>
      </c:catAx>
      <c:valAx>
        <c:axId val="116575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CT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Mean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75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52386</xdr:colOff>
      <xdr:row>48</xdr:row>
      <xdr:rowOff>100011</xdr:rowOff>
    </xdr:from>
    <xdr:to>
      <xdr:col>6</xdr:col>
      <xdr:colOff>2114549</xdr:colOff>
      <xdr:row>70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719BFC-2736-9E53-BEA5-A488F2039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33337</xdr:colOff>
      <xdr:row>80</xdr:row>
      <xdr:rowOff>128586</xdr:rowOff>
    </xdr:from>
    <xdr:to>
      <xdr:col>7</xdr:col>
      <xdr:colOff>381000</xdr:colOff>
      <xdr:row>99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4AF34D-B33A-8222-C934-34979236E688}"/>
            </a:ext>
            <a:ext uri="{147F2762-F138-4A5C-976F-8EAC2B608ADB}">
              <a16:predDERef xmlns:a16="http://schemas.microsoft.com/office/drawing/2014/main" pred="{90719BFC-2736-9E53-BEA5-A488F2039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128586</xdr:colOff>
      <xdr:row>108</xdr:row>
      <xdr:rowOff>80961</xdr:rowOff>
    </xdr:from>
    <xdr:to>
      <xdr:col>7</xdr:col>
      <xdr:colOff>1581150</xdr:colOff>
      <xdr:row>129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68328E-CBA1-6770-901D-AB44441E791A}"/>
            </a:ext>
            <a:ext uri="{147F2762-F138-4A5C-976F-8EAC2B608ADB}">
              <a16:predDERef xmlns:a16="http://schemas.microsoft.com/office/drawing/2014/main" pred="{CC4AF34D-B33A-8222-C934-34979236E6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795337</xdr:colOff>
      <xdr:row>138</xdr:row>
      <xdr:rowOff>176212</xdr:rowOff>
    </xdr:from>
    <xdr:to>
      <xdr:col>7</xdr:col>
      <xdr:colOff>2038350</xdr:colOff>
      <xdr:row>158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7027D5-75FA-EBAE-EC2D-1CB7BB1C636D}"/>
            </a:ext>
            <a:ext uri="{147F2762-F138-4A5C-976F-8EAC2B608ADB}">
              <a16:predDERef xmlns:a16="http://schemas.microsoft.com/office/drawing/2014/main" pred="{0468328E-CBA1-6770-901D-AB44441E7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476250</xdr:colOff>
      <xdr:row>23</xdr:row>
      <xdr:rowOff>104775</xdr:rowOff>
    </xdr:from>
    <xdr:to>
      <xdr:col>4</xdr:col>
      <xdr:colOff>133350</xdr:colOff>
      <xdr:row>25</xdr:row>
      <xdr:rowOff>57150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78983E12-C3D2-F9D6-600A-515358DA6F16}"/>
            </a:ext>
          </a:extLst>
        </xdr:cNvPr>
        <xdr:cNvSpPr txBox="1"/>
      </xdr:nvSpPr>
      <xdr:spPr>
        <a:xfrm>
          <a:off x="1866900" y="3152775"/>
          <a:ext cx="1257300" cy="333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Digestion time (3)</a:t>
          </a:r>
        </a:p>
      </xdr:txBody>
    </xdr:sp>
    <xdr:clientData/>
  </xdr:twoCellAnchor>
  <xdr:twoCellAnchor>
    <xdr:from>
      <xdr:col>4</xdr:col>
      <xdr:colOff>285750</xdr:colOff>
      <xdr:row>23</xdr:row>
      <xdr:rowOff>104775</xdr:rowOff>
    </xdr:from>
    <xdr:to>
      <xdr:col>5</xdr:col>
      <xdr:colOff>666750</xdr:colOff>
      <xdr:row>25</xdr:row>
      <xdr:rowOff>57150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646B94F5-9C94-4E16-BE8F-845FEFDB61E8}"/>
            </a:ext>
            <a:ext uri="{147F2762-F138-4A5C-976F-8EAC2B608ADB}">
              <a16:predDERef xmlns:a16="http://schemas.microsoft.com/office/drawing/2014/main" pred="{78983E12-C3D2-F9D6-600A-515358DA6F16}"/>
            </a:ext>
          </a:extLst>
        </xdr:cNvPr>
        <xdr:cNvSpPr txBox="1"/>
      </xdr:nvSpPr>
      <xdr:spPr>
        <a:xfrm>
          <a:off x="3276600" y="3152775"/>
          <a:ext cx="1419225" cy="333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Field replicate (2 to 3)</a:t>
          </a:r>
        </a:p>
      </xdr:txBody>
    </xdr:sp>
    <xdr:clientData/>
  </xdr:twoCellAnchor>
  <xdr:twoCellAnchor>
    <xdr:from>
      <xdr:col>5</xdr:col>
      <xdr:colOff>819150</xdr:colOff>
      <xdr:row>23</xdr:row>
      <xdr:rowOff>104775</xdr:rowOff>
    </xdr:from>
    <xdr:to>
      <xdr:col>7</xdr:col>
      <xdr:colOff>85725</xdr:colOff>
      <xdr:row>25</xdr:row>
      <xdr:rowOff>57150</xdr:rowOff>
    </xdr:to>
    <xdr:sp macro="" textlink="">
      <xdr:nvSpPr>
        <xdr:cNvPr id="4" name="ZoneTexte 3">
          <a:extLst>
            <a:ext uri="{FF2B5EF4-FFF2-40B4-BE49-F238E27FC236}">
              <a16:creationId xmlns:a16="http://schemas.microsoft.com/office/drawing/2014/main" id="{1ED56FAE-2797-49C4-A7C4-DA70867C22BA}"/>
            </a:ext>
            <a:ext uri="{147F2762-F138-4A5C-976F-8EAC2B608ADB}">
              <a16:predDERef xmlns:a16="http://schemas.microsoft.com/office/drawing/2014/main" pred="{646B94F5-9C94-4E16-BE8F-845FEFDB61E8}"/>
            </a:ext>
          </a:extLst>
        </xdr:cNvPr>
        <xdr:cNvSpPr txBox="1"/>
      </xdr:nvSpPr>
      <xdr:spPr>
        <a:xfrm>
          <a:off x="4848225" y="3152775"/>
          <a:ext cx="1552575" cy="333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qPCR  replicate (3 or 9?)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552449</xdr:colOff>
      <xdr:row>40</xdr:row>
      <xdr:rowOff>61911</xdr:rowOff>
    </xdr:from>
    <xdr:to>
      <xdr:col>21</xdr:col>
      <xdr:colOff>333375</xdr:colOff>
      <xdr:row>60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E6C3C-8F1B-CF5A-14E8-93F310FB3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242886</xdr:colOff>
      <xdr:row>9</xdr:row>
      <xdr:rowOff>185737</xdr:rowOff>
    </xdr:from>
    <xdr:to>
      <xdr:col>22</xdr:col>
      <xdr:colOff>9524</xdr:colOff>
      <xdr:row>27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9E899A-CA7D-5D0D-AABD-1063D178F2A7}"/>
            </a:ext>
            <a:ext uri="{147F2762-F138-4A5C-976F-8EAC2B608ADB}">
              <a16:predDERef xmlns:a16="http://schemas.microsoft.com/office/drawing/2014/main" pred="{58EE6C3C-8F1B-CF5A-14E8-93F310FB3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576261</xdr:colOff>
      <xdr:row>10</xdr:row>
      <xdr:rowOff>14286</xdr:rowOff>
    </xdr:from>
    <xdr:to>
      <xdr:col>36</xdr:col>
      <xdr:colOff>161925</xdr:colOff>
      <xdr:row>27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0C3119-750C-706A-EAB9-8AF2DA65F005}"/>
            </a:ext>
            <a:ext uri="{147F2762-F138-4A5C-976F-8EAC2B608ADB}">
              <a16:predDERef xmlns:a16="http://schemas.microsoft.com/office/drawing/2014/main" pred="{9F9E899A-CA7D-5D0D-AABD-1063D178F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185736</xdr:colOff>
      <xdr:row>64</xdr:row>
      <xdr:rowOff>33336</xdr:rowOff>
    </xdr:from>
    <xdr:to>
      <xdr:col>19</xdr:col>
      <xdr:colOff>495300</xdr:colOff>
      <xdr:row>80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070C60-8BA4-C6B3-A8EA-7C651F2FECC2}"/>
            </a:ext>
            <a:ext uri="{147F2762-F138-4A5C-976F-8EAC2B608ADB}">
              <a16:predDERef xmlns:a16="http://schemas.microsoft.com/office/drawing/2014/main" pred="{110C3119-750C-706A-EAB9-8AF2DA65F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519112</xdr:colOff>
      <xdr:row>39</xdr:row>
      <xdr:rowOff>33337</xdr:rowOff>
    </xdr:from>
    <xdr:to>
      <xdr:col>22</xdr:col>
      <xdr:colOff>57150</xdr:colOff>
      <xdr:row>58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9D1661-918C-C8D5-0A73-5F3FC23FA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223836</xdr:colOff>
      <xdr:row>5</xdr:row>
      <xdr:rowOff>176211</xdr:rowOff>
    </xdr:from>
    <xdr:to>
      <xdr:col>24</xdr:col>
      <xdr:colOff>171449</xdr:colOff>
      <xdr:row>28</xdr:row>
      <xdr:rowOff>342900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368E5C-7A8F-5081-82C6-126CF8C5ACC1}"/>
            </a:ext>
            <a:ext uri="{147F2762-F138-4A5C-976F-8EAC2B608ADB}">
              <a16:predDERef xmlns:a16="http://schemas.microsoft.com/office/drawing/2014/main" pred="{189D1661-918C-C8D5-0A73-5F3FC23FA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0.16757</cdr:x>
      <cdr:y>0.86861</cdr:y>
    </cdr:from>
    <cdr:to>
      <cdr:x>0.42892</cdr:x>
      <cdr:y>0.93535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2CE29BB-405F-1746-4F40-44A415E69366}"/>
            </a:ext>
          </a:extLst>
        </cdr:cNvPr>
        <cdr:cNvSpPr txBox="1"/>
      </cdr:nvSpPr>
      <cdr:spPr>
        <a:xfrm xmlns:a="http://schemas.openxmlformats.org/drawingml/2006/main">
          <a:off x="1319214" y="3967164"/>
          <a:ext cx="205740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kern="1200"/>
            <a:t>Sambro</a:t>
          </a:r>
          <a:r>
            <a:rPr lang="en-US" sz="1100" kern="1200" baseline="0"/>
            <a:t> Samples - B. schlosseri</a:t>
          </a:r>
          <a:endParaRPr lang="en-US" sz="1100" kern="1200"/>
        </a:p>
      </cdr:txBody>
    </cdr:sp>
  </cdr:relSizeAnchor>
  <cdr:relSizeAnchor xmlns:cdr="http://schemas.openxmlformats.org/drawingml/2006/chartDrawing">
    <cdr:from>
      <cdr:x>0.53156</cdr:x>
      <cdr:y>0.86827</cdr:y>
    </cdr:from>
    <cdr:to>
      <cdr:x>0.82214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222E4BDC-E763-5248-1FB2-18919BE63620}"/>
            </a:ext>
          </a:extLst>
        </cdr:cNvPr>
        <cdr:cNvSpPr txBox="1"/>
      </cdr:nvSpPr>
      <cdr:spPr>
        <a:xfrm xmlns:a="http://schemas.openxmlformats.org/drawingml/2006/main">
          <a:off x="4184650" y="3965575"/>
          <a:ext cx="228759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/>
            <a:t>Steep</a:t>
          </a:r>
          <a:r>
            <a:rPr lang="en-US" sz="1100" kern="1200" baseline="0"/>
            <a:t> Rock Samples - Zebra Mussel</a:t>
          </a:r>
          <a:endParaRPr lang="en-US" sz="1100" kern="12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9E5A-F809-4339-BB42-E44F08EB7074}">
  <dimension ref="A1:AF137"/>
  <sheetViews>
    <sheetView workbookViewId="0">
      <selection activeCell="G7" sqref="G7"/>
    </sheetView>
  </sheetViews>
  <sheetFormatPr defaultRowHeight="15"/>
  <cols>
    <col min="1" max="1" width="12.140625" bestFit="1" customWidth="1"/>
    <col min="2" max="2" width="13.42578125" bestFit="1" customWidth="1"/>
    <col min="3" max="3" width="16" bestFit="1" customWidth="1"/>
    <col min="4" max="4" width="17.85546875" bestFit="1" customWidth="1"/>
    <col min="5" max="5" width="24.7109375" bestFit="1" customWidth="1"/>
    <col min="6" max="6" width="46.28515625" bestFit="1" customWidth="1"/>
    <col min="7" max="7" width="32" customWidth="1"/>
    <col min="8" max="8" width="42.140625" customWidth="1"/>
    <col min="9" max="12" width="9.42578125" bestFit="1" customWidth="1"/>
    <col min="13" max="15" width="10.5703125" bestFit="1" customWidth="1"/>
    <col min="16" max="20" width="9.42578125" bestFit="1" customWidth="1"/>
    <col min="21" max="23" width="13.7109375" bestFit="1" customWidth="1"/>
    <col min="24" max="26" width="9.42578125" bestFit="1" customWidth="1"/>
    <col min="27" max="27" width="9.140625" bestFit="1" customWidth="1"/>
    <col min="28" max="28" width="9.42578125" bestFit="1" customWidth="1"/>
    <col min="29" max="31" width="10.5703125" bestFit="1" customWidth="1"/>
  </cols>
  <sheetData>
    <row r="1" spans="1:32" ht="15.75" thickBot="1">
      <c r="I1" s="215" t="s">
        <v>0</v>
      </c>
      <c r="J1" s="216"/>
      <c r="K1" s="216"/>
      <c r="L1" s="216"/>
      <c r="M1" s="216"/>
      <c r="N1" s="216"/>
      <c r="O1" s="216"/>
      <c r="P1" s="217"/>
      <c r="Q1" s="215" t="s">
        <v>1</v>
      </c>
      <c r="R1" s="216"/>
      <c r="S1" s="216"/>
      <c r="T1" s="216"/>
      <c r="U1" s="216"/>
      <c r="V1" s="216"/>
      <c r="W1" s="216"/>
      <c r="X1" s="217"/>
      <c r="Y1" s="215" t="s">
        <v>2</v>
      </c>
      <c r="Z1" s="216"/>
      <c r="AA1" s="216"/>
      <c r="AB1" s="216"/>
      <c r="AC1" s="216"/>
      <c r="AD1" s="216"/>
      <c r="AE1" s="216"/>
      <c r="AF1" s="217"/>
    </row>
    <row r="2" spans="1:32" ht="15.75" thickBot="1">
      <c r="A2" s="16" t="s">
        <v>3</v>
      </c>
      <c r="B2" s="1" t="s">
        <v>4</v>
      </c>
      <c r="C2" s="1" t="s">
        <v>5</v>
      </c>
      <c r="D2" s="1" t="s">
        <v>6</v>
      </c>
      <c r="E2" s="17" t="s">
        <v>7</v>
      </c>
      <c r="F2" s="1" t="s">
        <v>8</v>
      </c>
      <c r="G2" s="1"/>
      <c r="H2" s="141" t="s">
        <v>9</v>
      </c>
      <c r="I2" s="65" t="s">
        <v>10</v>
      </c>
      <c r="J2" s="66" t="s">
        <v>11</v>
      </c>
      <c r="K2" s="66" t="s">
        <v>12</v>
      </c>
      <c r="L2" s="66" t="s">
        <v>13</v>
      </c>
      <c r="M2" s="66" t="s">
        <v>14</v>
      </c>
      <c r="N2" s="66" t="s">
        <v>15</v>
      </c>
      <c r="O2" s="66" t="s">
        <v>16</v>
      </c>
      <c r="P2" s="67" t="s">
        <v>17</v>
      </c>
      <c r="Q2" s="44" t="s">
        <v>10</v>
      </c>
      <c r="R2" s="45" t="s">
        <v>11</v>
      </c>
      <c r="S2" s="45" t="s">
        <v>12</v>
      </c>
      <c r="T2" s="45" t="s">
        <v>13</v>
      </c>
      <c r="U2" s="45" t="s">
        <v>14</v>
      </c>
      <c r="V2" s="45" t="s">
        <v>15</v>
      </c>
      <c r="W2" s="45" t="s">
        <v>16</v>
      </c>
      <c r="X2" s="46" t="s">
        <v>17</v>
      </c>
      <c r="Y2" s="44" t="s">
        <v>10</v>
      </c>
      <c r="Z2" s="45" t="s">
        <v>11</v>
      </c>
      <c r="AA2" s="45" t="s">
        <v>12</v>
      </c>
      <c r="AB2" s="45" t="s">
        <v>13</v>
      </c>
      <c r="AC2" s="45" t="s">
        <v>14</v>
      </c>
      <c r="AD2" s="45" t="s">
        <v>15</v>
      </c>
      <c r="AE2" s="45" t="s">
        <v>16</v>
      </c>
      <c r="AF2" s="46" t="s">
        <v>17</v>
      </c>
    </row>
    <row r="3" spans="1:32" ht="15.75" thickBot="1">
      <c r="A3" s="15">
        <v>44647</v>
      </c>
      <c r="B3" s="2" t="s">
        <v>18</v>
      </c>
      <c r="C3" t="s">
        <v>19</v>
      </c>
      <c r="D3" t="s">
        <v>20</v>
      </c>
      <c r="E3">
        <v>1.6</v>
      </c>
      <c r="G3" s="70" t="s">
        <v>21</v>
      </c>
      <c r="H3" s="22">
        <v>25.1</v>
      </c>
      <c r="I3" s="26">
        <v>27.428000000000001</v>
      </c>
      <c r="J3" s="27">
        <v>27.32</v>
      </c>
      <c r="K3" s="27">
        <v>27.181999999999999</v>
      </c>
      <c r="L3" s="27">
        <f>AVERAGE(I3:K3)</f>
        <v>27.310000000000002</v>
      </c>
      <c r="M3" s="27">
        <v>0.123</v>
      </c>
      <c r="N3" s="27">
        <v>3406.59</v>
      </c>
      <c r="O3" s="27">
        <v>3655.3150000000001</v>
      </c>
      <c r="P3" s="61">
        <v>3997.8670000000002</v>
      </c>
      <c r="Q3" s="138">
        <v>24.315000000000001</v>
      </c>
      <c r="R3" s="55">
        <v>24.263999999999999</v>
      </c>
      <c r="S3" s="55">
        <v>24.241</v>
      </c>
      <c r="T3" s="55">
        <v>24.273</v>
      </c>
      <c r="U3" s="55">
        <v>3.7999999999999999E-2</v>
      </c>
      <c r="V3" s="55">
        <v>26489.164000000001</v>
      </c>
      <c r="W3" s="55">
        <v>27388.748</v>
      </c>
      <c r="X3" s="6">
        <v>27796.918000000001</v>
      </c>
      <c r="Y3" s="140">
        <v>29.712772369384766</v>
      </c>
      <c r="Z3" s="73">
        <v>29.741931915283203</v>
      </c>
      <c r="AA3" s="73">
        <v>29.59686279296875</v>
      </c>
      <c r="AB3" s="73">
        <v>29.683855000000001</v>
      </c>
      <c r="AC3" s="73">
        <v>7.6735869999999998E-2</v>
      </c>
      <c r="AD3" s="73">
        <v>844.43535999999995</v>
      </c>
      <c r="AE3" s="73">
        <v>828.36914000000002</v>
      </c>
      <c r="AF3" s="144">
        <v>911.43975999999998</v>
      </c>
    </row>
    <row r="4" spans="1:32" ht="15.75" thickBot="1">
      <c r="A4" s="15">
        <v>44648</v>
      </c>
      <c r="B4" s="2" t="s">
        <v>22</v>
      </c>
      <c r="C4" t="s">
        <v>19</v>
      </c>
      <c r="D4" t="s">
        <v>20</v>
      </c>
      <c r="E4">
        <v>1.6</v>
      </c>
      <c r="G4" s="70" t="s">
        <v>21</v>
      </c>
      <c r="H4" s="25">
        <v>16.5</v>
      </c>
      <c r="I4" s="26">
        <v>29.856000000000002</v>
      </c>
      <c r="J4" s="27">
        <v>29.948</v>
      </c>
      <c r="K4" s="27">
        <v>30.012</v>
      </c>
      <c r="L4" s="27">
        <f t="shared" ref="L4:L6" si="0">AVERAGE(I4:K4)</f>
        <v>29.938666666666666</v>
      </c>
      <c r="M4" s="27">
        <v>7.9000000000000001E-2</v>
      </c>
      <c r="N4" s="27">
        <v>701.10900000000004</v>
      </c>
      <c r="O4" s="27">
        <v>660.23599999999999</v>
      </c>
      <c r="P4" s="61">
        <v>633.25099999999998</v>
      </c>
      <c r="Q4" s="138">
        <v>21.818999999999999</v>
      </c>
      <c r="R4" s="55">
        <v>21.843</v>
      </c>
      <c r="S4" s="55">
        <v>21.759</v>
      </c>
      <c r="T4" s="55">
        <v>21.806999999999999</v>
      </c>
      <c r="U4" s="55">
        <v>4.2999999999999997E-2</v>
      </c>
      <c r="V4" s="55">
        <v>135540.5</v>
      </c>
      <c r="W4" s="55">
        <v>133438.16</v>
      </c>
      <c r="X4" s="6">
        <v>140961.4</v>
      </c>
      <c r="Y4" s="140">
        <v>29.803848266601563</v>
      </c>
      <c r="Z4" s="73">
        <v>29.979055404663086</v>
      </c>
      <c r="AA4" s="73">
        <v>29.72300910949707</v>
      </c>
      <c r="AB4" s="73">
        <v>29.835304000000001</v>
      </c>
      <c r="AC4" s="73">
        <v>0.13088939999999999</v>
      </c>
      <c r="AD4" s="73">
        <v>795.26110000000006</v>
      </c>
      <c r="AE4" s="73">
        <v>708.57079999999996</v>
      </c>
      <c r="AF4" s="144">
        <v>838.76</v>
      </c>
    </row>
    <row r="5" spans="1:32" ht="15.75" thickBot="1">
      <c r="A5" s="15">
        <v>44649</v>
      </c>
      <c r="B5" s="2" t="s">
        <v>23</v>
      </c>
      <c r="C5" t="s">
        <v>19</v>
      </c>
      <c r="D5" t="s">
        <v>20</v>
      </c>
      <c r="E5">
        <v>1.6</v>
      </c>
      <c r="G5" s="70" t="s">
        <v>21</v>
      </c>
      <c r="H5" s="25">
        <v>20.100000000000001</v>
      </c>
      <c r="I5" s="26">
        <v>29.936</v>
      </c>
      <c r="J5" s="27">
        <v>29.977</v>
      </c>
      <c r="K5" s="27">
        <v>29.978999999999999</v>
      </c>
      <c r="L5" s="27">
        <f t="shared" si="0"/>
        <v>29.963999999999999</v>
      </c>
      <c r="M5" s="27">
        <v>2.4E-2</v>
      </c>
      <c r="N5" s="27">
        <v>665.46</v>
      </c>
      <c r="O5" s="27">
        <v>648.04700000000003</v>
      </c>
      <c r="P5" s="61">
        <v>647.22900000000004</v>
      </c>
      <c r="Q5" s="138">
        <v>21.748000000000001</v>
      </c>
      <c r="R5" s="55">
        <v>21.789000000000001</v>
      </c>
      <c r="S5" s="55">
        <v>21.768000000000001</v>
      </c>
      <c r="T5" s="55">
        <v>21.768000000000001</v>
      </c>
      <c r="U5" s="55">
        <v>0.02</v>
      </c>
      <c r="V5" s="55">
        <v>141918.19</v>
      </c>
      <c r="W5" s="55">
        <v>138210.94</v>
      </c>
      <c r="X5" s="6">
        <v>140146.84</v>
      </c>
      <c r="Y5" s="140">
        <v>30.028522491455078</v>
      </c>
      <c r="Z5" s="73">
        <v>29.947378158569336</v>
      </c>
      <c r="AA5" s="73">
        <v>29.875675201416016</v>
      </c>
      <c r="AB5" s="73">
        <v>29.950524999999999</v>
      </c>
      <c r="AC5" s="73">
        <v>7.6472230000000002E-2</v>
      </c>
      <c r="AD5" s="73">
        <v>685.85260000000005</v>
      </c>
      <c r="AE5" s="73">
        <v>723.51260000000002</v>
      </c>
      <c r="AF5" s="144">
        <v>758.50800000000004</v>
      </c>
    </row>
    <row r="6" spans="1:32" ht="15.75" thickBot="1">
      <c r="A6" s="28">
        <v>44650</v>
      </c>
      <c r="B6" s="29" t="s">
        <v>24</v>
      </c>
      <c r="C6" s="30" t="s">
        <v>19</v>
      </c>
      <c r="D6" s="30" t="s">
        <v>20</v>
      </c>
      <c r="E6" s="30">
        <v>1.6</v>
      </c>
      <c r="F6" s="30" t="s">
        <v>25</v>
      </c>
      <c r="G6" s="70" t="s">
        <v>21</v>
      </c>
      <c r="H6" s="31">
        <v>0.32400000000000001</v>
      </c>
      <c r="I6" s="26">
        <v>31.376000000000001</v>
      </c>
      <c r="J6" s="27">
        <v>31.216999999999999</v>
      </c>
      <c r="K6" s="27">
        <v>31.241</v>
      </c>
      <c r="L6" s="27">
        <f t="shared" si="0"/>
        <v>31.278000000000002</v>
      </c>
      <c r="M6" s="27">
        <v>8.5999999999999993E-2</v>
      </c>
      <c r="N6" s="27">
        <v>260.56</v>
      </c>
      <c r="O6" s="27">
        <v>289</v>
      </c>
      <c r="P6" s="61">
        <v>284.49099999999999</v>
      </c>
      <c r="Q6" s="148">
        <v>27.359000000000002</v>
      </c>
      <c r="R6" s="142">
        <v>27.263000000000002</v>
      </c>
      <c r="S6" s="142">
        <v>27.507999999999999</v>
      </c>
      <c r="T6" s="142">
        <v>27.376999999999999</v>
      </c>
      <c r="U6" s="142">
        <v>0.124</v>
      </c>
      <c r="V6" s="142">
        <v>3617.973</v>
      </c>
      <c r="W6" s="142">
        <v>3852.5349999999999</v>
      </c>
      <c r="X6" s="149">
        <v>3281.2820000000002</v>
      </c>
      <c r="Y6" s="150">
        <v>30.874397277832031</v>
      </c>
      <c r="Z6" s="143">
        <v>30.609296798706055</v>
      </c>
      <c r="AA6" s="143">
        <v>30.777742385864258</v>
      </c>
      <c r="AB6" s="143">
        <v>30.753813000000001</v>
      </c>
      <c r="AC6" s="143">
        <v>0.13416056000000001</v>
      </c>
      <c r="AD6" s="143">
        <v>392.85050000000001</v>
      </c>
      <c r="AE6" s="143">
        <v>467.81286999999998</v>
      </c>
      <c r="AF6" s="151">
        <v>418.67797999999999</v>
      </c>
    </row>
    <row r="7" spans="1:32">
      <c r="A7" s="137">
        <v>44651</v>
      </c>
      <c r="B7" s="76" t="s">
        <v>18</v>
      </c>
      <c r="C7" s="70" t="s">
        <v>19</v>
      </c>
      <c r="D7" s="70" t="s">
        <v>20</v>
      </c>
      <c r="E7" s="70">
        <v>1.6</v>
      </c>
      <c r="F7" s="70"/>
      <c r="G7" s="70" t="s">
        <v>26</v>
      </c>
      <c r="H7" s="22">
        <v>66.599999999999994</v>
      </c>
      <c r="I7" s="138">
        <v>28.269909999999999</v>
      </c>
      <c r="J7" s="55">
        <v>28.711770999999999</v>
      </c>
      <c r="K7" s="55">
        <v>28.568480999999998</v>
      </c>
      <c r="L7" s="55">
        <v>28.516721725463867</v>
      </c>
      <c r="M7" s="55">
        <v>0.22543172538280487</v>
      </c>
      <c r="N7" s="55">
        <v>2352.798583984375</v>
      </c>
      <c r="O7" s="55">
        <v>1799.0321044921875</v>
      </c>
      <c r="P7" s="6">
        <v>1962.6064453125</v>
      </c>
      <c r="Q7" s="138">
        <v>18.680689000000001</v>
      </c>
      <c r="R7" s="55">
        <v>18.526126999999999</v>
      </c>
      <c r="S7" s="55">
        <v>18.744195999999999</v>
      </c>
      <c r="T7" s="55">
        <v>18.650337219238281</v>
      </c>
      <c r="U7" s="55">
        <v>0.11215813457965851</v>
      </c>
      <c r="V7" s="55">
        <v>50290100</v>
      </c>
      <c r="W7" s="55">
        <v>57653636</v>
      </c>
      <c r="X7" s="6">
        <v>47544348</v>
      </c>
      <c r="Y7" s="138">
        <v>28.235004</v>
      </c>
      <c r="Z7" s="55">
        <v>28.450602</v>
      </c>
      <c r="AA7" s="55">
        <v>28.430761</v>
      </c>
      <c r="AB7" s="55">
        <v>28.372121810913086</v>
      </c>
      <c r="AC7" s="55">
        <v>0.11916133016347885</v>
      </c>
      <c r="AD7" s="55">
        <v>2986.1982421875</v>
      </c>
      <c r="AE7" s="55">
        <v>2604.44775390625</v>
      </c>
      <c r="AF7" s="6">
        <v>2637.4375</v>
      </c>
    </row>
    <row r="8" spans="1:32">
      <c r="A8" s="15">
        <v>44652</v>
      </c>
      <c r="B8" s="2" t="s">
        <v>22</v>
      </c>
      <c r="C8" t="s">
        <v>19</v>
      </c>
      <c r="D8" t="s">
        <v>20</v>
      </c>
      <c r="E8">
        <v>1.6</v>
      </c>
      <c r="G8" t="s">
        <v>26</v>
      </c>
      <c r="H8" s="25">
        <v>69.400000000000006</v>
      </c>
      <c r="I8" s="138">
        <v>29.495111000000001</v>
      </c>
      <c r="J8" s="55">
        <v>29.440916000000001</v>
      </c>
      <c r="K8" s="55">
        <v>29.493279999999999</v>
      </c>
      <c r="L8" s="55">
        <v>29.476434707641602</v>
      </c>
      <c r="M8" s="55">
        <v>3.0774772167205811E-2</v>
      </c>
      <c r="N8" s="55">
        <v>1117.9532470703125</v>
      </c>
      <c r="O8" s="55">
        <v>1155.3626708984375</v>
      </c>
      <c r="P8" s="6">
        <v>1119.1971435546875</v>
      </c>
      <c r="Q8" s="138">
        <v>19.217354</v>
      </c>
      <c r="R8" s="55">
        <v>19.152560999999999</v>
      </c>
      <c r="S8" s="55">
        <v>19.158745</v>
      </c>
      <c r="T8" s="55">
        <v>19.176219940185547</v>
      </c>
      <c r="U8" s="55">
        <v>3.5756908357143402E-2</v>
      </c>
      <c r="V8" s="55">
        <v>31291726</v>
      </c>
      <c r="W8" s="55">
        <v>33136506</v>
      </c>
      <c r="X8" s="6">
        <v>32955848</v>
      </c>
      <c r="Y8" s="138">
        <v>29.039103999999998</v>
      </c>
      <c r="Z8" s="55">
        <v>28.811398000000001</v>
      </c>
      <c r="AA8" s="55">
        <v>28.934823999999999</v>
      </c>
      <c r="AB8" s="55">
        <v>28.928442001342773</v>
      </c>
      <c r="AC8" s="55">
        <v>0.11398752778768539</v>
      </c>
      <c r="AD8" s="55">
        <v>1792.944580078125</v>
      </c>
      <c r="AE8" s="55">
        <v>2071.602294921875</v>
      </c>
      <c r="AF8" s="6">
        <v>1915.5743408203125</v>
      </c>
    </row>
    <row r="9" spans="1:32">
      <c r="A9" s="15" t="s">
        <v>27</v>
      </c>
      <c r="B9" s="2" t="s">
        <v>28</v>
      </c>
      <c r="G9" t="s">
        <v>26</v>
      </c>
      <c r="H9" s="25">
        <v>0</v>
      </c>
      <c r="I9" s="138" t="s">
        <v>29</v>
      </c>
      <c r="J9" s="55" t="s">
        <v>29</v>
      </c>
      <c r="K9" s="55" t="s">
        <v>29</v>
      </c>
      <c r="L9" s="55"/>
      <c r="M9" s="55"/>
      <c r="N9" s="55"/>
      <c r="O9" s="55"/>
      <c r="P9" s="6"/>
      <c r="Q9" s="138" t="s">
        <v>29</v>
      </c>
      <c r="R9" s="55" t="s">
        <v>29</v>
      </c>
      <c r="S9" s="55" t="s">
        <v>29</v>
      </c>
      <c r="T9" s="55"/>
      <c r="U9" s="55"/>
      <c r="V9" s="55"/>
      <c r="W9" s="55"/>
      <c r="X9" s="6"/>
      <c r="Y9" s="138" t="s">
        <v>29</v>
      </c>
      <c r="Z9" s="55" t="s">
        <v>29</v>
      </c>
      <c r="AA9" s="55" t="s">
        <v>29</v>
      </c>
      <c r="AB9" s="55"/>
      <c r="AC9" s="55"/>
      <c r="AD9" s="55"/>
      <c r="AE9" s="55"/>
      <c r="AF9" s="6"/>
    </row>
    <row r="10" spans="1:32">
      <c r="A10" s="15">
        <v>44653</v>
      </c>
      <c r="B10" s="2" t="s">
        <v>23</v>
      </c>
      <c r="C10" t="s">
        <v>19</v>
      </c>
      <c r="D10" t="s">
        <v>20</v>
      </c>
      <c r="E10">
        <v>1.6</v>
      </c>
      <c r="G10" t="s">
        <v>30</v>
      </c>
      <c r="H10" s="25">
        <v>59.4</v>
      </c>
      <c r="I10" s="138">
        <v>22.937843000000001</v>
      </c>
      <c r="J10" s="55">
        <v>22.965257999999999</v>
      </c>
      <c r="K10" s="55">
        <v>22.979251999999999</v>
      </c>
      <c r="L10" s="55">
        <v>22.960784912109375</v>
      </c>
      <c r="M10" s="55">
        <v>2.106359601020813E-2</v>
      </c>
      <c r="N10" s="55">
        <v>59976.38671875</v>
      </c>
      <c r="O10" s="55">
        <v>58986.06640625</v>
      </c>
      <c r="P10" s="6">
        <v>58486.859375</v>
      </c>
      <c r="Q10" s="138">
        <v>19.787013999999999</v>
      </c>
      <c r="R10" s="55">
        <v>19.727160000000001</v>
      </c>
      <c r="S10" s="55">
        <v>19.716866</v>
      </c>
      <c r="T10" s="55">
        <v>19.743679046630859</v>
      </c>
      <c r="U10" s="55">
        <v>3.7879932671785355E-2</v>
      </c>
      <c r="V10" s="55">
        <v>18910718</v>
      </c>
      <c r="W10" s="55">
        <v>19938348</v>
      </c>
      <c r="X10" s="6">
        <v>20120630</v>
      </c>
      <c r="Y10" s="138">
        <v>28.027159999999999</v>
      </c>
      <c r="Z10" s="55">
        <v>27.973472999999998</v>
      </c>
      <c r="AA10" s="55">
        <v>28.076283</v>
      </c>
      <c r="AB10" s="55">
        <v>28.025640487670898</v>
      </c>
      <c r="AC10" s="55">
        <v>5.1421850919723511E-2</v>
      </c>
      <c r="AD10" s="55">
        <v>3407.103515625</v>
      </c>
      <c r="AE10" s="55">
        <v>3525.15234375</v>
      </c>
      <c r="AF10" s="6">
        <v>3302.5615234375</v>
      </c>
    </row>
    <row r="11" spans="1:32">
      <c r="A11" s="15">
        <v>44654</v>
      </c>
      <c r="B11" s="2" t="s">
        <v>24</v>
      </c>
      <c r="C11" t="s">
        <v>19</v>
      </c>
      <c r="D11" t="s">
        <v>20</v>
      </c>
      <c r="E11">
        <v>1.6</v>
      </c>
      <c r="F11" t="s">
        <v>31</v>
      </c>
      <c r="G11" t="s">
        <v>30</v>
      </c>
      <c r="H11" s="25">
        <v>0.99299999999999999</v>
      </c>
      <c r="I11" s="138">
        <v>30.61703</v>
      </c>
      <c r="J11" s="55">
        <v>30.710367000000002</v>
      </c>
      <c r="K11" s="55">
        <v>30.540243</v>
      </c>
      <c r="L11" s="55">
        <v>30.62254524230957</v>
      </c>
      <c r="M11" s="55">
        <v>8.5196122527122498E-2</v>
      </c>
      <c r="N11" s="55">
        <v>565.59381103515625</v>
      </c>
      <c r="O11" s="55">
        <v>534.423583984375</v>
      </c>
      <c r="P11" s="6">
        <v>592.5948486328125</v>
      </c>
      <c r="Q11" s="138">
        <v>26.574636000000002</v>
      </c>
      <c r="R11" s="55">
        <v>26.642433</v>
      </c>
      <c r="S11" s="55">
        <v>26.620953</v>
      </c>
      <c r="T11" s="55">
        <v>26.612672805786133</v>
      </c>
      <c r="U11" s="55">
        <v>3.4648217260837555E-2</v>
      </c>
      <c r="V11" s="55">
        <v>46837.59375</v>
      </c>
      <c r="W11" s="55">
        <v>44112.734375</v>
      </c>
      <c r="X11" s="6">
        <v>44958.4609375</v>
      </c>
      <c r="Y11" s="138">
        <v>29.489687</v>
      </c>
      <c r="Z11" s="55">
        <v>29.690446999999999</v>
      </c>
      <c r="AA11" s="55">
        <v>29.53614</v>
      </c>
      <c r="AB11" s="55">
        <v>29.572090148925781</v>
      </c>
      <c r="AC11" s="55">
        <v>0.10509751737117767</v>
      </c>
      <c r="AD11" s="55">
        <v>1347.1591796875</v>
      </c>
      <c r="AE11" s="55">
        <v>1186.0528564453125</v>
      </c>
      <c r="AF11" s="6">
        <v>1308.0360107421875</v>
      </c>
    </row>
    <row r="12" spans="1:32">
      <c r="A12" s="15">
        <v>44659</v>
      </c>
      <c r="B12" s="2" t="s">
        <v>18</v>
      </c>
      <c r="C12" t="s">
        <v>19</v>
      </c>
      <c r="D12" t="s">
        <v>20</v>
      </c>
      <c r="E12">
        <v>1.6</v>
      </c>
      <c r="G12" t="s">
        <v>30</v>
      </c>
      <c r="H12" s="25">
        <v>53.4</v>
      </c>
      <c r="I12" s="138">
        <v>30.218195000000001</v>
      </c>
      <c r="J12" s="55">
        <v>30.411899999999999</v>
      </c>
      <c r="K12" s="55">
        <v>30.389261000000001</v>
      </c>
      <c r="L12" s="55">
        <v>30.339784622192383</v>
      </c>
      <c r="M12" s="55">
        <v>0.10590691119432449</v>
      </c>
      <c r="N12" s="55">
        <v>720.61260986328125</v>
      </c>
      <c r="O12" s="55">
        <v>640.63397216796875</v>
      </c>
      <c r="P12" s="6">
        <v>649.5029296875</v>
      </c>
      <c r="Q12" s="138">
        <v>24.361211999999998</v>
      </c>
      <c r="R12" s="55">
        <v>24.284936999999999</v>
      </c>
      <c r="S12" s="55">
        <v>24.350038999999999</v>
      </c>
      <c r="T12" s="55">
        <v>24.332061767578125</v>
      </c>
      <c r="U12" s="55">
        <v>4.1192471981048584E-2</v>
      </c>
      <c r="V12" s="55">
        <v>331467.4375</v>
      </c>
      <c r="W12" s="55">
        <v>354590.15625</v>
      </c>
      <c r="X12" s="6">
        <v>334757.90625</v>
      </c>
      <c r="Y12" s="138">
        <v>28.973621000000001</v>
      </c>
      <c r="Z12" s="55">
        <v>29.074466999999999</v>
      </c>
      <c r="AA12" s="55">
        <v>28.911339999999999</v>
      </c>
      <c r="AB12" s="55">
        <v>28.986474990844727</v>
      </c>
      <c r="AC12" s="55">
        <v>8.2319244742393494E-2</v>
      </c>
      <c r="AD12" s="55">
        <v>1868.999755859375</v>
      </c>
      <c r="AE12" s="55">
        <v>1753.168212890625</v>
      </c>
      <c r="AF12" s="6">
        <v>1944.326904296875</v>
      </c>
    </row>
    <row r="13" spans="1:32">
      <c r="A13" s="15" t="s">
        <v>32</v>
      </c>
      <c r="B13" s="2" t="s">
        <v>28</v>
      </c>
      <c r="G13" t="s">
        <v>30</v>
      </c>
      <c r="H13" s="25">
        <v>0</v>
      </c>
      <c r="I13" s="138" t="s">
        <v>29</v>
      </c>
      <c r="J13" s="55" t="s">
        <v>29</v>
      </c>
      <c r="K13" s="55" t="s">
        <v>29</v>
      </c>
      <c r="L13" s="55"/>
      <c r="M13" s="55"/>
      <c r="N13" s="55"/>
      <c r="O13" s="55"/>
      <c r="P13" s="6"/>
      <c r="Q13" s="138" t="s">
        <v>29</v>
      </c>
      <c r="R13" s="55" t="s">
        <v>29</v>
      </c>
      <c r="S13" s="55" t="s">
        <v>29</v>
      </c>
      <c r="T13" s="55"/>
      <c r="U13" s="55"/>
      <c r="V13" s="55"/>
      <c r="W13" s="55"/>
      <c r="X13" s="6"/>
      <c r="Y13" s="138" t="s">
        <v>29</v>
      </c>
      <c r="Z13" s="55" t="s">
        <v>29</v>
      </c>
      <c r="AA13" s="55" t="s">
        <v>29</v>
      </c>
      <c r="AB13" s="55"/>
      <c r="AC13" s="55"/>
      <c r="AD13" s="55"/>
      <c r="AE13" s="55"/>
      <c r="AF13" s="6"/>
    </row>
    <row r="14" spans="1:32">
      <c r="A14" s="15">
        <v>44660</v>
      </c>
      <c r="B14" s="2" t="s">
        <v>22</v>
      </c>
      <c r="C14" t="s">
        <v>19</v>
      </c>
      <c r="D14" t="s">
        <v>20</v>
      </c>
      <c r="E14">
        <v>1.6</v>
      </c>
      <c r="G14" t="s">
        <v>33</v>
      </c>
      <c r="H14" s="25">
        <v>62.4</v>
      </c>
      <c r="I14" s="138">
        <v>29.643421</v>
      </c>
      <c r="J14" s="55">
        <v>29.636811999999999</v>
      </c>
      <c r="K14" s="55">
        <v>29.692855999999999</v>
      </c>
      <c r="L14" s="55">
        <v>29.657693862915039</v>
      </c>
      <c r="M14" s="55">
        <v>3.0627744272351265E-2</v>
      </c>
      <c r="N14" s="55">
        <v>1021.6572265625</v>
      </c>
      <c r="O14" s="55">
        <v>1025.7662353515625</v>
      </c>
      <c r="P14" s="6">
        <v>991.43951416015625</v>
      </c>
      <c r="Q14" s="138">
        <v>22.265867</v>
      </c>
      <c r="R14" s="55">
        <v>22.365807</v>
      </c>
      <c r="S14" s="55">
        <v>22.331002999999999</v>
      </c>
      <c r="T14" s="55">
        <v>22.320892333984375</v>
      </c>
      <c r="U14" s="55">
        <v>5.0731059163808823E-2</v>
      </c>
      <c r="V14" s="55">
        <v>2113246.75</v>
      </c>
      <c r="W14" s="55">
        <v>1934543</v>
      </c>
      <c r="X14" s="6">
        <v>1994992.125</v>
      </c>
      <c r="Y14" s="138">
        <v>28.707094000000001</v>
      </c>
      <c r="Z14" s="55">
        <v>28.837885</v>
      </c>
      <c r="AA14" s="55">
        <v>28.812671999999999</v>
      </c>
      <c r="AB14" s="55">
        <v>28.785882949829102</v>
      </c>
      <c r="AC14" s="55">
        <v>6.9388419389724731E-2</v>
      </c>
      <c r="AD14" s="55">
        <v>2213.3232421875</v>
      </c>
      <c r="AE14" s="55">
        <v>2037.08154296875</v>
      </c>
      <c r="AF14" s="6">
        <v>2069.928466796875</v>
      </c>
    </row>
    <row r="15" spans="1:32">
      <c r="A15" s="15">
        <v>44661</v>
      </c>
      <c r="B15" s="2" t="s">
        <v>23</v>
      </c>
      <c r="C15" t="s">
        <v>19</v>
      </c>
      <c r="D15" t="s">
        <v>20</v>
      </c>
      <c r="E15">
        <v>1.6</v>
      </c>
      <c r="G15" t="s">
        <v>33</v>
      </c>
      <c r="H15" s="25">
        <v>54.8</v>
      </c>
      <c r="I15" s="138">
        <v>29.793955</v>
      </c>
      <c r="J15" s="55">
        <v>29.695979999999999</v>
      </c>
      <c r="K15" s="55">
        <v>29.984804</v>
      </c>
      <c r="L15" s="55">
        <v>29.824913024902344</v>
      </c>
      <c r="M15" s="55">
        <v>0.14687968790531158</v>
      </c>
      <c r="N15" s="55">
        <v>932.3955078125</v>
      </c>
      <c r="O15" s="55">
        <v>989.56011962890625</v>
      </c>
      <c r="P15" s="6">
        <v>830.3504638671875</v>
      </c>
      <c r="Q15" s="138">
        <v>25.323893000000002</v>
      </c>
      <c r="R15" s="55">
        <v>25.369527999999999</v>
      </c>
      <c r="S15" s="55">
        <v>25.319208</v>
      </c>
      <c r="T15" s="55">
        <v>25.337541580200195</v>
      </c>
      <c r="U15" s="55">
        <v>2.7798641473054886E-2</v>
      </c>
      <c r="V15" s="55">
        <v>141520.296875</v>
      </c>
      <c r="W15" s="55">
        <v>135924.28125</v>
      </c>
      <c r="X15" s="6">
        <v>142107.609375</v>
      </c>
      <c r="Y15" s="138">
        <v>28.696155999999998</v>
      </c>
      <c r="Z15" s="55">
        <v>28.208061000000001</v>
      </c>
      <c r="AA15" s="55">
        <v>28.370225999999999</v>
      </c>
      <c r="AB15" s="55">
        <v>28.424814224243164</v>
      </c>
      <c r="AC15" s="55">
        <v>0.24858385324478149</v>
      </c>
      <c r="AD15" s="55">
        <v>2228.736572265625</v>
      </c>
      <c r="AE15" s="55">
        <v>3037.681396484375</v>
      </c>
      <c r="AF15" s="6">
        <v>2740.69921875</v>
      </c>
    </row>
    <row r="16" spans="1:32">
      <c r="A16" s="15">
        <v>44667</v>
      </c>
      <c r="B16" s="2" t="s">
        <v>24</v>
      </c>
      <c r="C16" t="s">
        <v>19</v>
      </c>
      <c r="D16" t="s">
        <v>20</v>
      </c>
      <c r="E16">
        <v>1.6</v>
      </c>
      <c r="F16" t="s">
        <v>34</v>
      </c>
      <c r="G16" t="s">
        <v>33</v>
      </c>
      <c r="H16" s="25">
        <v>0.44800000000000001</v>
      </c>
      <c r="I16" s="138">
        <v>31.980056999999999</v>
      </c>
      <c r="J16" s="55">
        <v>32.269688000000002</v>
      </c>
      <c r="K16" s="55">
        <v>32.036456999999999</v>
      </c>
      <c r="L16" s="55">
        <v>32.095401763916016</v>
      </c>
      <c r="M16" s="55">
        <v>0.15354888141155243</v>
      </c>
      <c r="N16" s="55">
        <v>247.16676330566406</v>
      </c>
      <c r="O16" s="55">
        <v>207.29866027832031</v>
      </c>
      <c r="P16" s="6">
        <v>238.84371948242188</v>
      </c>
      <c r="Q16" s="138">
        <v>30.408072000000001</v>
      </c>
      <c r="R16" s="55">
        <v>30.324200000000001</v>
      </c>
      <c r="S16" s="55">
        <v>30.378798</v>
      </c>
      <c r="T16" s="55">
        <v>30.370355606079102</v>
      </c>
      <c r="U16" s="55">
        <v>4.2568333446979523E-2</v>
      </c>
      <c r="V16" s="55">
        <v>1580.31591796875</v>
      </c>
      <c r="W16" s="55">
        <v>1701.9490966796875</v>
      </c>
      <c r="X16" s="6">
        <v>1621.7491455078125</v>
      </c>
      <c r="Y16" s="138">
        <v>33.522922999999999</v>
      </c>
      <c r="Z16" s="55">
        <v>33.257874000000001</v>
      </c>
      <c r="AA16" s="55">
        <v>33.095329999999997</v>
      </c>
      <c r="AB16" s="55">
        <v>33.292041778564453</v>
      </c>
      <c r="AC16" s="55">
        <v>0.21583464741706848</v>
      </c>
      <c r="AD16" s="55">
        <v>104.26800537109375</v>
      </c>
      <c r="AE16" s="55">
        <v>123.36142730712891</v>
      </c>
      <c r="AF16" s="6">
        <v>136.76181030273438</v>
      </c>
    </row>
    <row r="17" spans="1:32" ht="15.75" thickBot="1">
      <c r="A17" s="32" t="s">
        <v>35</v>
      </c>
      <c r="B17" s="33" t="s">
        <v>28</v>
      </c>
      <c r="C17" s="34"/>
      <c r="D17" s="34"/>
      <c r="E17" s="34"/>
      <c r="F17" s="34"/>
      <c r="G17" s="34" t="s">
        <v>33</v>
      </c>
      <c r="H17" s="35">
        <v>0</v>
      </c>
      <c r="I17" s="138" t="s">
        <v>29</v>
      </c>
      <c r="J17" s="55" t="s">
        <v>29</v>
      </c>
      <c r="K17" s="55" t="s">
        <v>29</v>
      </c>
      <c r="L17" s="55"/>
      <c r="M17" s="55"/>
      <c r="N17" s="55"/>
      <c r="O17" s="55"/>
      <c r="P17" s="6"/>
      <c r="Q17" s="138" t="s">
        <v>29</v>
      </c>
      <c r="R17" s="55" t="s">
        <v>29</v>
      </c>
      <c r="S17" s="55" t="s">
        <v>29</v>
      </c>
      <c r="T17" s="55"/>
      <c r="U17" s="55"/>
      <c r="V17" s="55"/>
      <c r="W17" s="55"/>
      <c r="X17" s="6"/>
      <c r="Y17" s="138" t="s">
        <v>29</v>
      </c>
      <c r="Z17" s="55" t="s">
        <v>29</v>
      </c>
      <c r="AA17" s="55" t="s">
        <v>29</v>
      </c>
      <c r="AB17" s="55"/>
      <c r="AC17" s="55"/>
      <c r="AD17" s="55"/>
      <c r="AE17" s="55"/>
      <c r="AF17" s="6"/>
    </row>
    <row r="18" spans="1:32">
      <c r="A18">
        <v>44668</v>
      </c>
      <c r="B18" s="2" t="s">
        <v>18</v>
      </c>
      <c r="C18" t="s">
        <v>19</v>
      </c>
      <c r="D18" t="s">
        <v>20</v>
      </c>
      <c r="E18">
        <v>1.6</v>
      </c>
      <c r="G18" t="s">
        <v>36</v>
      </c>
      <c r="H18" s="55">
        <v>47.6</v>
      </c>
      <c r="I18" s="140">
        <v>30.616999</v>
      </c>
      <c r="J18" s="73">
        <v>31.081607999999999</v>
      </c>
      <c r="K18" s="73">
        <v>30.955272999999998</v>
      </c>
      <c r="L18" s="55">
        <v>30.884626388549805</v>
      </c>
      <c r="M18" s="55">
        <v>0.24022611975669861</v>
      </c>
      <c r="N18" s="73">
        <v>531.63323974609375</v>
      </c>
      <c r="O18" s="73">
        <v>387.68084716796875</v>
      </c>
      <c r="P18" s="144">
        <v>422.43942260742188</v>
      </c>
      <c r="Q18" s="140">
        <v>20.359411000000001</v>
      </c>
      <c r="R18" s="73">
        <v>20.511099999999999</v>
      </c>
      <c r="S18" s="73">
        <v>20.338892000000001</v>
      </c>
      <c r="T18" s="55">
        <v>20.403135299682617</v>
      </c>
      <c r="U18" s="55">
        <v>9.4062581658363342E-2</v>
      </c>
      <c r="V18" s="73">
        <v>2669118.25</v>
      </c>
      <c r="W18" s="73">
        <v>2375789.75</v>
      </c>
      <c r="X18" s="144">
        <v>2711484.5</v>
      </c>
      <c r="Y18" s="140">
        <v>28.817122000000001</v>
      </c>
      <c r="Z18" s="73">
        <v>28.950856999999999</v>
      </c>
      <c r="AA18" s="73">
        <v>29.090019999999999</v>
      </c>
      <c r="AB18" s="55">
        <v>28.952667236328125</v>
      </c>
      <c r="AC18" s="55">
        <v>0.13645784556865692</v>
      </c>
      <c r="AD18" s="73">
        <v>2537.860107421875</v>
      </c>
      <c r="AE18" s="73">
        <v>2321.488525390625</v>
      </c>
      <c r="AF18" s="144">
        <v>2115.899658203125</v>
      </c>
    </row>
    <row r="19" spans="1:32">
      <c r="A19">
        <v>44669</v>
      </c>
      <c r="B19" s="2" t="s">
        <v>22</v>
      </c>
      <c r="C19" t="s">
        <v>19</v>
      </c>
      <c r="D19" t="s">
        <v>20</v>
      </c>
      <c r="E19">
        <v>1.6</v>
      </c>
      <c r="G19" t="s">
        <v>36</v>
      </c>
      <c r="H19" s="55">
        <v>53.2</v>
      </c>
      <c r="I19" s="140">
        <v>30.791931000000002</v>
      </c>
      <c r="J19" s="73">
        <v>30.697141999999999</v>
      </c>
      <c r="K19" s="73">
        <v>30.967110000000002</v>
      </c>
      <c r="L19" s="55">
        <v>30.818727493286133</v>
      </c>
      <c r="M19" s="55">
        <v>0.13696429133415222</v>
      </c>
      <c r="N19" s="73">
        <v>472.03872680664063</v>
      </c>
      <c r="O19" s="73">
        <v>503.45016479492188</v>
      </c>
      <c r="P19" s="144">
        <v>419.05450439453125</v>
      </c>
      <c r="Q19" s="140">
        <v>23.859363999999999</v>
      </c>
      <c r="R19" s="73">
        <v>23.782634999999999</v>
      </c>
      <c r="S19" s="73">
        <v>23.859369999999998</v>
      </c>
      <c r="T19" s="55">
        <v>23.833791732788086</v>
      </c>
      <c r="U19" s="55">
        <v>4.430105909705162E-2</v>
      </c>
      <c r="V19" s="73">
        <v>181884.140625</v>
      </c>
      <c r="W19" s="73">
        <v>192916.515625</v>
      </c>
      <c r="X19" s="144">
        <v>181883.34375</v>
      </c>
      <c r="Y19" s="140">
        <v>29.638397000000001</v>
      </c>
      <c r="Z19" s="73">
        <v>29.439259</v>
      </c>
      <c r="AA19" s="73">
        <v>29.577252999999999</v>
      </c>
      <c r="AB19" s="55">
        <v>29.5516357421875</v>
      </c>
      <c r="AC19" s="55">
        <v>0.10201089084148407</v>
      </c>
      <c r="AD19" s="73">
        <v>1468.2584228515625</v>
      </c>
      <c r="AE19" s="73">
        <v>1676.603271484375</v>
      </c>
      <c r="AF19" s="144">
        <v>1529.31396484375</v>
      </c>
    </row>
    <row r="20" spans="1:32">
      <c r="A20">
        <v>44670</v>
      </c>
      <c r="B20" s="2" t="s">
        <v>23</v>
      </c>
      <c r="C20" t="s">
        <v>19</v>
      </c>
      <c r="D20" t="s">
        <v>20</v>
      </c>
      <c r="E20">
        <v>1.6</v>
      </c>
      <c r="G20" t="s">
        <v>36</v>
      </c>
      <c r="H20" s="55">
        <v>44.8</v>
      </c>
      <c r="I20" s="140">
        <v>30.854834</v>
      </c>
      <c r="J20" s="73">
        <v>30.969256999999999</v>
      </c>
      <c r="K20" s="73">
        <v>31.059819999999998</v>
      </c>
      <c r="L20" s="55">
        <v>30.9613037109375</v>
      </c>
      <c r="M20" s="55">
        <v>0.10272447764873505</v>
      </c>
      <c r="N20" s="73">
        <v>452.28359985351563</v>
      </c>
      <c r="O20" s="73">
        <v>418.44329833984375</v>
      </c>
      <c r="P20" s="144">
        <v>393.46432495117188</v>
      </c>
      <c r="Q20" s="140">
        <v>22.368884999999999</v>
      </c>
      <c r="R20" s="73">
        <v>22.342027999999999</v>
      </c>
      <c r="S20" s="73">
        <v>22.407743</v>
      </c>
      <c r="T20" s="55">
        <v>22.372884750366211</v>
      </c>
      <c r="U20" s="55">
        <v>3.3040028065443039E-2</v>
      </c>
      <c r="V20" s="73">
        <v>570936.625</v>
      </c>
      <c r="W20" s="73">
        <v>582827.125</v>
      </c>
      <c r="X20" s="144">
        <v>554161</v>
      </c>
      <c r="Y20" s="140">
        <v>29.408981000000001</v>
      </c>
      <c r="Z20" s="73">
        <v>29.444334000000001</v>
      </c>
      <c r="AA20" s="73">
        <v>29.224437999999999</v>
      </c>
      <c r="AB20" s="55">
        <v>29.359251022338867</v>
      </c>
      <c r="AC20" s="55">
        <v>0.11808227747678757</v>
      </c>
      <c r="AD20" s="73">
        <v>1710.77197265625</v>
      </c>
      <c r="AE20" s="73">
        <v>1670.9427490234375</v>
      </c>
      <c r="AF20" s="144">
        <v>1934.6229248046875</v>
      </c>
    </row>
    <row r="21" spans="1:32" ht="15.75" thickBot="1">
      <c r="A21">
        <v>44671</v>
      </c>
      <c r="B21" s="108" t="s">
        <v>24</v>
      </c>
      <c r="C21" t="s">
        <v>19</v>
      </c>
      <c r="D21" t="s">
        <v>20</v>
      </c>
      <c r="E21">
        <v>1.3</v>
      </c>
      <c r="G21" t="s">
        <v>36</v>
      </c>
      <c r="H21" s="55">
        <v>0.49199999999999999</v>
      </c>
      <c r="I21" s="145">
        <v>33.030014000000001</v>
      </c>
      <c r="J21" s="146">
        <v>32.838614999999997</v>
      </c>
      <c r="K21" s="146">
        <v>32.864277000000001</v>
      </c>
      <c r="L21" s="139">
        <v>32.910968780517578</v>
      </c>
      <c r="M21" s="139">
        <v>0.10389156639575958</v>
      </c>
      <c r="N21" s="146">
        <v>103.12571716308594</v>
      </c>
      <c r="O21" s="146">
        <v>117.45235443115234</v>
      </c>
      <c r="P21" s="147">
        <v>115.42165374755859</v>
      </c>
      <c r="Q21" s="145">
        <v>32.052745999999999</v>
      </c>
      <c r="R21" s="146">
        <v>32.069504000000002</v>
      </c>
      <c r="S21" s="146">
        <v>31.815930000000002</v>
      </c>
      <c r="T21" s="139">
        <v>31.979393005371094</v>
      </c>
      <c r="U21" s="139">
        <v>0.14181137084960938</v>
      </c>
      <c r="V21" s="146">
        <v>337.94769287109375</v>
      </c>
      <c r="W21" s="146">
        <v>333.62905883789063</v>
      </c>
      <c r="X21" s="147">
        <v>405.30596923828125</v>
      </c>
      <c r="Y21" s="145">
        <v>34.138080000000002</v>
      </c>
      <c r="Z21" s="146">
        <v>34.683857000000003</v>
      </c>
      <c r="AA21" s="146">
        <v>34.637250000000002</v>
      </c>
      <c r="AB21" s="139">
        <v>34.486392974853516</v>
      </c>
      <c r="AC21" s="139">
        <v>0.30254840850830078</v>
      </c>
      <c r="AD21" s="146">
        <v>73.225120544433594</v>
      </c>
      <c r="AE21" s="146">
        <v>50.900306701660156</v>
      </c>
      <c r="AF21" s="147">
        <v>52.505893707275391</v>
      </c>
    </row>
    <row r="22" spans="1:32">
      <c r="A22" s="15"/>
      <c r="B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55"/>
      <c r="T22" s="55"/>
      <c r="U22" s="55"/>
      <c r="V22" s="55"/>
      <c r="W22" s="55"/>
      <c r="X22" s="2"/>
      <c r="Y22" s="2"/>
      <c r="Z22" s="2"/>
      <c r="AA22" s="55"/>
      <c r="AB22" s="55"/>
      <c r="AC22" s="55"/>
      <c r="AD22" s="55"/>
      <c r="AE22" s="55"/>
    </row>
    <row r="26" spans="1:32" ht="60.75" thickBot="1">
      <c r="A26" s="16" t="s">
        <v>3</v>
      </c>
      <c r="B26" s="16" t="s">
        <v>37</v>
      </c>
      <c r="C26" s="1" t="s">
        <v>5</v>
      </c>
      <c r="D26" s="1" t="s">
        <v>38</v>
      </c>
      <c r="E26" s="1" t="s">
        <v>6</v>
      </c>
      <c r="F26" s="17" t="s">
        <v>7</v>
      </c>
      <c r="G26" s="1" t="s">
        <v>39</v>
      </c>
      <c r="H26" s="1" t="s">
        <v>40</v>
      </c>
      <c r="I26" s="141" t="s">
        <v>9</v>
      </c>
      <c r="J26" s="152" t="s">
        <v>10</v>
      </c>
      <c r="K26" s="20" t="s">
        <v>11</v>
      </c>
      <c r="L26" s="20" t="s">
        <v>12</v>
      </c>
      <c r="M26" s="20" t="s">
        <v>41</v>
      </c>
      <c r="N26" s="20" t="s">
        <v>42</v>
      </c>
      <c r="O26" s="20" t="s">
        <v>43</v>
      </c>
      <c r="P26" s="20" t="s">
        <v>13</v>
      </c>
      <c r="Q26" s="20" t="s">
        <v>14</v>
      </c>
      <c r="R26" s="21" t="s">
        <v>44</v>
      </c>
    </row>
    <row r="27" spans="1:32">
      <c r="A27" s="157" t="s">
        <v>45</v>
      </c>
      <c r="B27" s="157" t="s">
        <v>46</v>
      </c>
      <c r="C27" t="s">
        <v>47</v>
      </c>
      <c r="D27" t="s">
        <v>48</v>
      </c>
      <c r="E27" t="s">
        <v>49</v>
      </c>
      <c r="F27" t="s">
        <v>50</v>
      </c>
      <c r="H27" t="s">
        <v>26</v>
      </c>
      <c r="I27" s="55">
        <v>0</v>
      </c>
      <c r="J27" s="153" t="s">
        <v>29</v>
      </c>
      <c r="K27" s="154" t="s">
        <v>29</v>
      </c>
      <c r="L27" s="154" t="s">
        <v>29</v>
      </c>
      <c r="M27" s="154" t="s">
        <v>29</v>
      </c>
      <c r="N27" s="154" t="s">
        <v>29</v>
      </c>
      <c r="O27" s="154" t="s">
        <v>29</v>
      </c>
      <c r="P27" s="106"/>
      <c r="Q27" s="106"/>
      <c r="R27" s="2" t="s">
        <v>51</v>
      </c>
    </row>
    <row r="28" spans="1:32">
      <c r="A28" s="157" t="s">
        <v>52</v>
      </c>
      <c r="B28" s="157" t="s">
        <v>53</v>
      </c>
      <c r="C28" t="s">
        <v>47</v>
      </c>
      <c r="D28" t="s">
        <v>48</v>
      </c>
      <c r="E28" t="s">
        <v>49</v>
      </c>
      <c r="F28" t="s">
        <v>50</v>
      </c>
      <c r="H28" t="s">
        <v>26</v>
      </c>
      <c r="I28" s="55">
        <v>10</v>
      </c>
      <c r="J28" s="158">
        <v>36.736687000000003</v>
      </c>
      <c r="K28" s="159">
        <v>36.039470000000001</v>
      </c>
      <c r="L28" s="159">
        <v>35.966915</v>
      </c>
      <c r="M28" s="154" t="s">
        <v>29</v>
      </c>
      <c r="N28" s="159">
        <v>35.378162000000003</v>
      </c>
      <c r="O28" s="159">
        <v>36.642130000000002</v>
      </c>
      <c r="P28" s="55">
        <v>36.152672800000005</v>
      </c>
      <c r="Q28" s="106"/>
      <c r="R28" s="2" t="s">
        <v>51</v>
      </c>
    </row>
    <row r="29" spans="1:32">
      <c r="A29" s="157" t="s">
        <v>54</v>
      </c>
      <c r="B29" s="157" t="s">
        <v>53</v>
      </c>
      <c r="C29" t="s">
        <v>47</v>
      </c>
      <c r="D29" t="s">
        <v>48</v>
      </c>
      <c r="E29" t="s">
        <v>49</v>
      </c>
      <c r="F29" t="s">
        <v>50</v>
      </c>
      <c r="H29" t="s">
        <v>26</v>
      </c>
      <c r="I29" s="55">
        <v>9.8699999999999992</v>
      </c>
      <c r="J29" s="158">
        <v>35.894660000000002</v>
      </c>
      <c r="K29" s="154" t="s">
        <v>29</v>
      </c>
      <c r="L29" s="159">
        <v>35.768664999999999</v>
      </c>
      <c r="M29" s="154" t="s">
        <v>29</v>
      </c>
      <c r="N29" s="159">
        <v>36.350209999999997</v>
      </c>
      <c r="O29" s="159">
        <v>35.745564000000002</v>
      </c>
      <c r="P29" s="55">
        <v>35.939774749999998</v>
      </c>
      <c r="Q29" s="106"/>
      <c r="R29" s="2" t="s">
        <v>51</v>
      </c>
    </row>
    <row r="30" spans="1:32">
      <c r="A30" s="157" t="s">
        <v>55</v>
      </c>
      <c r="B30" s="157" t="s">
        <v>53</v>
      </c>
      <c r="C30" t="s">
        <v>47</v>
      </c>
      <c r="D30" t="s">
        <v>48</v>
      </c>
      <c r="E30" t="s">
        <v>49</v>
      </c>
      <c r="F30" t="s">
        <v>50</v>
      </c>
      <c r="H30" t="s">
        <v>26</v>
      </c>
      <c r="I30" s="55">
        <v>8.67</v>
      </c>
      <c r="J30" s="158">
        <v>37.705627</v>
      </c>
      <c r="K30" s="154" t="s">
        <v>29</v>
      </c>
      <c r="L30" s="159">
        <v>37.787334000000001</v>
      </c>
      <c r="M30" s="154" t="s">
        <v>29</v>
      </c>
      <c r="N30" s="159">
        <v>36.118313000000001</v>
      </c>
      <c r="O30" s="159">
        <v>36.743229999999997</v>
      </c>
      <c r="P30" s="55">
        <v>37.088626000000005</v>
      </c>
      <c r="Q30" s="106"/>
      <c r="R30" s="2" t="s">
        <v>51</v>
      </c>
    </row>
    <row r="31" spans="1:32">
      <c r="A31" s="157" t="s">
        <v>56</v>
      </c>
      <c r="B31" s="157" t="s">
        <v>53</v>
      </c>
      <c r="C31" t="s">
        <v>47</v>
      </c>
      <c r="D31" t="s">
        <v>48</v>
      </c>
      <c r="E31" t="s">
        <v>49</v>
      </c>
      <c r="F31" t="s">
        <v>50</v>
      </c>
      <c r="H31" t="s">
        <v>26</v>
      </c>
      <c r="I31" s="55">
        <v>7</v>
      </c>
      <c r="J31" s="158">
        <v>34.709792999999998</v>
      </c>
      <c r="K31" s="159">
        <v>34.289368000000003</v>
      </c>
      <c r="L31" s="159">
        <v>34.543568</v>
      </c>
      <c r="M31" s="159">
        <v>33.951120000000003</v>
      </c>
      <c r="N31" s="159">
        <v>34.279907000000001</v>
      </c>
      <c r="O31" s="159">
        <v>35.082394000000001</v>
      </c>
      <c r="P31" s="55">
        <v>34.476025</v>
      </c>
      <c r="Q31" s="106"/>
      <c r="R31" s="2" t="s">
        <v>51</v>
      </c>
    </row>
    <row r="32" spans="1:32" ht="15.75" thickBot="1">
      <c r="A32" s="160" t="s">
        <v>57</v>
      </c>
      <c r="B32" s="160" t="s">
        <v>53</v>
      </c>
      <c r="C32" s="34" t="s">
        <v>47</v>
      </c>
      <c r="D32" s="34" t="s">
        <v>48</v>
      </c>
      <c r="E32" s="34" t="s">
        <v>49</v>
      </c>
      <c r="F32" s="34" t="s">
        <v>50</v>
      </c>
      <c r="G32" s="34"/>
      <c r="H32" s="34" t="s">
        <v>26</v>
      </c>
      <c r="I32" s="139">
        <v>6.11</v>
      </c>
      <c r="J32" s="161">
        <v>34.745125000000002</v>
      </c>
      <c r="K32" s="162">
        <v>37.763950000000001</v>
      </c>
      <c r="L32" s="162">
        <v>36.113235000000003</v>
      </c>
      <c r="M32" s="162">
        <v>35.241840000000003</v>
      </c>
      <c r="N32" s="162">
        <v>37.692481999999998</v>
      </c>
      <c r="O32" s="162">
        <v>36.832745000000003</v>
      </c>
      <c r="P32" s="139">
        <v>36.398229499999992</v>
      </c>
      <c r="Q32" s="20"/>
      <c r="R32" s="33" t="s">
        <v>51</v>
      </c>
    </row>
    <row r="33" spans="1:18">
      <c r="A33" s="157" t="s">
        <v>45</v>
      </c>
      <c r="B33" s="157" t="s">
        <v>58</v>
      </c>
      <c r="C33" t="s">
        <v>47</v>
      </c>
      <c r="D33" t="s">
        <v>48</v>
      </c>
      <c r="E33" t="s">
        <v>49</v>
      </c>
      <c r="F33" t="s">
        <v>50</v>
      </c>
      <c r="H33" t="s">
        <v>30</v>
      </c>
      <c r="J33" s="163"/>
      <c r="R33" s="2" t="s">
        <v>51</v>
      </c>
    </row>
    <row r="34" spans="1:18">
      <c r="A34" s="157" t="s">
        <v>52</v>
      </c>
      <c r="B34" s="157" t="s">
        <v>59</v>
      </c>
      <c r="C34" t="s">
        <v>47</v>
      </c>
      <c r="D34" t="s">
        <v>48</v>
      </c>
      <c r="E34" t="s">
        <v>49</v>
      </c>
      <c r="F34" t="s">
        <v>50</v>
      </c>
      <c r="G34" t="s">
        <v>60</v>
      </c>
      <c r="H34" t="s">
        <v>30</v>
      </c>
      <c r="I34" s="2">
        <v>7.73</v>
      </c>
      <c r="J34" s="155" t="s">
        <v>29</v>
      </c>
      <c r="K34" s="55">
        <v>36.801037000000001</v>
      </c>
      <c r="L34" s="55">
        <v>37.942191999999999</v>
      </c>
      <c r="M34" s="55">
        <v>37.558259999999997</v>
      </c>
      <c r="N34" s="55">
        <v>36.458075999999998</v>
      </c>
      <c r="O34" s="55">
        <v>37.938927</v>
      </c>
      <c r="P34" s="55">
        <v>37.339698791503906</v>
      </c>
      <c r="Q34" s="55">
        <v>0.67772722244262695</v>
      </c>
      <c r="R34" s="2" t="s">
        <v>51</v>
      </c>
    </row>
    <row r="35" spans="1:18">
      <c r="A35" s="157" t="s">
        <v>54</v>
      </c>
      <c r="B35" s="157" t="s">
        <v>59</v>
      </c>
      <c r="C35" t="s">
        <v>47</v>
      </c>
      <c r="D35" t="s">
        <v>48</v>
      </c>
      <c r="E35" t="s">
        <v>49</v>
      </c>
      <c r="F35" t="s">
        <v>50</v>
      </c>
      <c r="G35" t="s">
        <v>61</v>
      </c>
      <c r="H35" t="s">
        <v>33</v>
      </c>
      <c r="I35" s="2">
        <v>8.4700000000000006</v>
      </c>
      <c r="J35" s="155" t="s">
        <v>29</v>
      </c>
      <c r="K35" s="55">
        <v>36.631622</v>
      </c>
      <c r="L35" s="156" t="s">
        <v>29</v>
      </c>
      <c r="M35" s="156" t="s">
        <v>29</v>
      </c>
      <c r="N35" s="55">
        <v>37.40784</v>
      </c>
      <c r="O35" s="55">
        <v>37.043500000000002</v>
      </c>
      <c r="P35" s="55">
        <v>37.027652740478516</v>
      </c>
      <c r="Q35" s="55">
        <v>0.38835170865058899</v>
      </c>
      <c r="R35" s="2" t="s">
        <v>51</v>
      </c>
    </row>
    <row r="36" spans="1:18">
      <c r="A36" s="157" t="s">
        <v>55</v>
      </c>
      <c r="B36" s="157" t="s">
        <v>59</v>
      </c>
      <c r="C36" t="s">
        <v>47</v>
      </c>
      <c r="D36" t="s">
        <v>48</v>
      </c>
      <c r="E36" t="s">
        <v>49</v>
      </c>
      <c r="F36" t="s">
        <v>50</v>
      </c>
      <c r="G36" t="s">
        <v>62</v>
      </c>
      <c r="H36" t="s">
        <v>33</v>
      </c>
      <c r="I36" s="2">
        <v>10.7</v>
      </c>
      <c r="J36" s="25">
        <v>36.050939999999997</v>
      </c>
      <c r="K36" s="55">
        <v>36.985714000000002</v>
      </c>
      <c r="L36" s="55">
        <v>36.141303999999998</v>
      </c>
      <c r="M36" s="55">
        <v>35.837111999999998</v>
      </c>
      <c r="N36" s="55">
        <v>36.653370000000002</v>
      </c>
      <c r="O36" s="55">
        <v>37.042355000000001</v>
      </c>
      <c r="P36" s="55">
        <v>36.451797485351563</v>
      </c>
      <c r="Q36" s="55">
        <v>0.51173925399780273</v>
      </c>
      <c r="R36" s="2" t="s">
        <v>51</v>
      </c>
    </row>
    <row r="37" spans="1:18">
      <c r="A37" s="157" t="s">
        <v>56</v>
      </c>
      <c r="B37" s="157" t="s">
        <v>59</v>
      </c>
      <c r="C37" t="s">
        <v>47</v>
      </c>
      <c r="D37" t="s">
        <v>48</v>
      </c>
      <c r="E37" t="s">
        <v>49</v>
      </c>
      <c r="F37" t="s">
        <v>50</v>
      </c>
      <c r="G37" t="s">
        <v>63</v>
      </c>
      <c r="H37" t="s">
        <v>36</v>
      </c>
      <c r="I37" s="2">
        <v>9.73</v>
      </c>
      <c r="J37" s="25">
        <v>35.320152</v>
      </c>
      <c r="K37" s="55">
        <v>34.867683</v>
      </c>
      <c r="L37" s="55">
        <v>37.913060000000002</v>
      </c>
      <c r="M37" s="55">
        <v>35.927010000000003</v>
      </c>
      <c r="N37" s="55">
        <v>35.536990000000003</v>
      </c>
      <c r="O37" s="55">
        <v>35.192337000000002</v>
      </c>
      <c r="P37" s="55">
        <v>35.792873382568359</v>
      </c>
      <c r="Q37" s="55">
        <v>1.0971547365188599</v>
      </c>
      <c r="R37" s="2" t="s">
        <v>51</v>
      </c>
    </row>
    <row r="38" spans="1:18" ht="15.75" thickBot="1">
      <c r="A38" s="160" t="s">
        <v>57</v>
      </c>
      <c r="B38" s="160" t="s">
        <v>59</v>
      </c>
      <c r="C38" s="34" t="s">
        <v>47</v>
      </c>
      <c r="D38" s="34" t="s">
        <v>48</v>
      </c>
      <c r="E38" s="34" t="s">
        <v>49</v>
      </c>
      <c r="F38" s="34" t="s">
        <v>50</v>
      </c>
      <c r="G38" s="34" t="s">
        <v>64</v>
      </c>
      <c r="H38" s="34" t="s">
        <v>36</v>
      </c>
      <c r="I38" s="33">
        <v>8.4</v>
      </c>
      <c r="J38" s="35">
        <v>36.264557000000003</v>
      </c>
      <c r="K38" s="139">
        <v>36.429831999999998</v>
      </c>
      <c r="L38" s="139">
        <v>36.585560000000001</v>
      </c>
      <c r="M38" s="139">
        <v>35.468437000000002</v>
      </c>
      <c r="N38" s="139">
        <v>37.002090000000003</v>
      </c>
      <c r="O38" s="139">
        <v>39.024506000000002</v>
      </c>
      <c r="P38" s="139">
        <v>36.795833587646484</v>
      </c>
      <c r="Q38" s="139">
        <v>1.2026578187942505</v>
      </c>
      <c r="R38" s="33" t="s">
        <v>51</v>
      </c>
    </row>
    <row r="41" spans="1:18">
      <c r="A41" s="213" t="s">
        <v>65</v>
      </c>
      <c r="B41" s="213"/>
      <c r="C41" s="213"/>
    </row>
    <row r="42" spans="1:18" ht="15.75" thickBot="1">
      <c r="A42" s="165"/>
      <c r="B42" s="166">
        <v>44647</v>
      </c>
      <c r="C42" s="166">
        <v>44648</v>
      </c>
      <c r="D42" s="166">
        <v>44649</v>
      </c>
      <c r="E42" s="166">
        <v>44651</v>
      </c>
      <c r="F42" s="166">
        <v>44652</v>
      </c>
      <c r="G42" s="166">
        <v>44653</v>
      </c>
      <c r="H42" s="166">
        <v>44659</v>
      </c>
      <c r="I42" s="166">
        <v>44660</v>
      </c>
      <c r="J42" s="166">
        <v>44661</v>
      </c>
      <c r="K42" s="166">
        <v>44668</v>
      </c>
      <c r="L42" s="166">
        <v>44669</v>
      </c>
      <c r="M42" s="166">
        <v>44670</v>
      </c>
      <c r="N42" s="33"/>
    </row>
    <row r="43" spans="1:18">
      <c r="A43" s="166" t="s">
        <v>66</v>
      </c>
      <c r="B43" s="167">
        <v>27.310000000000002</v>
      </c>
      <c r="C43" s="167">
        <v>29.938666666666666</v>
      </c>
      <c r="D43" s="167">
        <v>29.963999999999999</v>
      </c>
      <c r="E43" s="165"/>
      <c r="F43" s="165"/>
      <c r="G43" s="165"/>
      <c r="H43" s="165"/>
      <c r="I43" s="165"/>
      <c r="J43" s="165"/>
      <c r="K43" s="165"/>
      <c r="L43" s="165"/>
      <c r="M43" s="165"/>
    </row>
    <row r="44" spans="1:18">
      <c r="A44" s="166" t="s">
        <v>67</v>
      </c>
      <c r="B44" s="168"/>
      <c r="C44" s="168"/>
      <c r="D44" s="165"/>
      <c r="E44" s="167">
        <v>28.516721725463867</v>
      </c>
      <c r="F44" s="167">
        <v>29.476434707641602</v>
      </c>
      <c r="G44" s="165"/>
      <c r="H44" s="165"/>
      <c r="I44" s="165"/>
      <c r="J44" s="165"/>
      <c r="K44" s="165"/>
      <c r="L44" s="165"/>
      <c r="M44" s="165"/>
    </row>
    <row r="45" spans="1:18">
      <c r="A45" s="166" t="s">
        <v>68</v>
      </c>
      <c r="B45" s="165"/>
      <c r="C45" s="165"/>
      <c r="D45" s="165"/>
      <c r="E45" s="165"/>
      <c r="F45" s="168"/>
      <c r="G45" s="167">
        <v>22.960784912109375</v>
      </c>
      <c r="H45" s="167">
        <v>30.339784622192383</v>
      </c>
      <c r="I45" s="165"/>
      <c r="J45" s="165"/>
      <c r="K45" s="165"/>
      <c r="L45" s="165"/>
      <c r="M45" s="165"/>
    </row>
    <row r="46" spans="1:18">
      <c r="A46" s="166" t="s">
        <v>69</v>
      </c>
      <c r="B46" s="165"/>
      <c r="C46" s="165"/>
      <c r="D46" s="165"/>
      <c r="E46" s="165"/>
      <c r="F46" s="168"/>
      <c r="G46" s="168"/>
      <c r="H46" s="165"/>
      <c r="I46" s="167">
        <v>29.657693862915039</v>
      </c>
      <c r="J46" s="167">
        <v>29.824913024902344</v>
      </c>
      <c r="K46" s="165"/>
      <c r="L46" s="165"/>
      <c r="M46" s="165"/>
    </row>
    <row r="47" spans="1:18" ht="15.75" thickBot="1">
      <c r="A47" s="166" t="s">
        <v>70</v>
      </c>
      <c r="B47" s="165"/>
      <c r="C47" s="165"/>
      <c r="D47" s="165"/>
      <c r="E47" s="165"/>
      <c r="F47" s="165"/>
      <c r="G47" s="165"/>
      <c r="H47" s="168"/>
      <c r="I47" s="168"/>
      <c r="J47" s="165"/>
      <c r="K47" s="168">
        <v>30.884626388549805</v>
      </c>
      <c r="L47" s="168">
        <v>30.818727493286133</v>
      </c>
      <c r="M47" s="168">
        <v>30.9613037109375</v>
      </c>
      <c r="N47" s="139"/>
    </row>
    <row r="48" spans="1:18">
      <c r="A48" s="2"/>
      <c r="B48" s="2"/>
      <c r="C48" s="214"/>
      <c r="D48" s="27"/>
      <c r="E48" s="27"/>
      <c r="F48" s="27"/>
    </row>
    <row r="49" spans="1:6">
      <c r="A49" s="2"/>
      <c r="B49" s="2"/>
      <c r="C49" s="214"/>
      <c r="D49" s="27"/>
      <c r="E49" s="27"/>
      <c r="F49" s="27"/>
    </row>
    <row r="50" spans="1:6">
      <c r="A50" s="2"/>
      <c r="B50" s="2"/>
      <c r="C50" s="214"/>
      <c r="D50" s="27"/>
      <c r="E50" s="27"/>
      <c r="F50" s="27"/>
    </row>
    <row r="51" spans="1:6">
      <c r="A51" s="2"/>
      <c r="B51" s="2"/>
      <c r="C51" s="214"/>
      <c r="D51" s="27"/>
      <c r="E51" s="27"/>
      <c r="F51" s="27"/>
    </row>
    <row r="52" spans="1:6">
      <c r="A52" s="2"/>
      <c r="B52" s="2"/>
      <c r="C52" s="214"/>
      <c r="D52" s="27"/>
      <c r="E52" s="27"/>
      <c r="F52" s="27"/>
    </row>
    <row r="53" spans="1:6">
      <c r="A53" s="2"/>
      <c r="B53" s="2"/>
      <c r="C53" s="214"/>
      <c r="D53" s="27"/>
      <c r="E53" s="27"/>
      <c r="F53" s="27"/>
    </row>
    <row r="54" spans="1:6">
      <c r="A54" s="2"/>
      <c r="B54" s="2"/>
      <c r="C54" s="214"/>
      <c r="D54" s="27"/>
      <c r="E54" s="27"/>
      <c r="F54" s="27"/>
    </row>
    <row r="55" spans="1:6">
      <c r="A55" s="2"/>
      <c r="B55" s="2"/>
      <c r="C55" s="214"/>
      <c r="D55" s="27"/>
      <c r="E55" s="27"/>
      <c r="F55" s="27"/>
    </row>
    <row r="56" spans="1:6">
      <c r="A56" s="2"/>
      <c r="B56" s="2"/>
      <c r="C56" s="214"/>
      <c r="D56" s="55"/>
      <c r="E56" s="55"/>
      <c r="F56" s="55"/>
    </row>
    <row r="57" spans="1:6">
      <c r="A57" s="2"/>
      <c r="B57" s="2"/>
      <c r="C57" s="214"/>
      <c r="D57" s="55"/>
      <c r="E57" s="55"/>
      <c r="F57" s="55"/>
    </row>
    <row r="58" spans="1:6">
      <c r="A58" s="2"/>
      <c r="B58" s="2"/>
      <c r="C58" s="214"/>
      <c r="D58" s="55"/>
      <c r="E58" s="55"/>
      <c r="F58" s="55"/>
    </row>
    <row r="59" spans="1:6">
      <c r="A59" s="2"/>
      <c r="B59" s="2"/>
      <c r="C59" s="214"/>
      <c r="D59" s="55"/>
      <c r="E59" s="55"/>
      <c r="F59" s="55"/>
    </row>
    <row r="73" spans="1:14">
      <c r="A73" s="213" t="s">
        <v>71</v>
      </c>
      <c r="B73" s="213"/>
      <c r="C73" s="213"/>
    </row>
    <row r="74" spans="1:14">
      <c r="A74" s="165"/>
      <c r="B74" s="166">
        <v>44647</v>
      </c>
      <c r="C74" s="166">
        <v>44648</v>
      </c>
      <c r="D74" s="166">
        <v>44649</v>
      </c>
      <c r="E74" s="166">
        <v>44651</v>
      </c>
      <c r="F74" s="166">
        <v>44652</v>
      </c>
      <c r="G74" s="166">
        <v>44653</v>
      </c>
      <c r="H74" s="166">
        <v>44659</v>
      </c>
      <c r="I74" s="166">
        <v>44660</v>
      </c>
      <c r="J74" s="166">
        <v>44661</v>
      </c>
      <c r="K74" s="166">
        <v>44668</v>
      </c>
      <c r="L74" s="166">
        <v>44669</v>
      </c>
      <c r="M74" s="166">
        <v>44670</v>
      </c>
      <c r="N74" s="166"/>
    </row>
    <row r="75" spans="1:14">
      <c r="A75" s="166" t="s">
        <v>66</v>
      </c>
      <c r="B75" s="167">
        <v>24.273</v>
      </c>
      <c r="C75" s="167">
        <v>21.806999999999999</v>
      </c>
      <c r="D75" s="167">
        <v>21.768000000000001</v>
      </c>
      <c r="E75" s="165"/>
      <c r="F75" s="165"/>
      <c r="G75" s="165"/>
      <c r="H75" s="165"/>
      <c r="I75" s="165"/>
      <c r="J75" s="165"/>
      <c r="K75" s="165"/>
      <c r="L75" s="165"/>
      <c r="M75" s="165"/>
      <c r="N75" s="165"/>
    </row>
    <row r="76" spans="1:14">
      <c r="A76" s="166" t="s">
        <v>72</v>
      </c>
      <c r="B76" s="165"/>
      <c r="C76" s="165"/>
      <c r="D76" s="165"/>
      <c r="E76" s="167">
        <v>18.650337219238281</v>
      </c>
      <c r="F76" s="167">
        <v>19.176219940185547</v>
      </c>
      <c r="G76" s="165"/>
      <c r="H76" s="165"/>
      <c r="I76" s="165"/>
      <c r="J76" s="165"/>
      <c r="K76" s="165"/>
      <c r="L76" s="165"/>
      <c r="M76" s="165"/>
      <c r="N76" s="165"/>
    </row>
    <row r="77" spans="1:14">
      <c r="A77" s="166" t="s">
        <v>68</v>
      </c>
      <c r="B77" s="165"/>
      <c r="C77" s="165"/>
      <c r="D77" s="165"/>
      <c r="E77" s="165"/>
      <c r="F77" s="168"/>
      <c r="G77" s="167">
        <v>19.743679046630859</v>
      </c>
      <c r="H77" s="167">
        <v>24.332061767578125</v>
      </c>
      <c r="I77" s="165"/>
      <c r="J77" s="165"/>
      <c r="K77" s="165"/>
      <c r="L77" s="165"/>
      <c r="M77" s="165"/>
      <c r="N77" s="165"/>
    </row>
    <row r="78" spans="1:14">
      <c r="A78" s="166" t="s">
        <v>69</v>
      </c>
      <c r="B78" s="165"/>
      <c r="C78" s="165"/>
      <c r="D78" s="165"/>
      <c r="E78" s="165"/>
      <c r="F78" s="165"/>
      <c r="G78" s="165"/>
      <c r="H78" s="168"/>
      <c r="I78" s="167">
        <v>22.320892333984375</v>
      </c>
      <c r="J78" s="167">
        <v>25.337541580200195</v>
      </c>
      <c r="K78" s="165"/>
      <c r="L78" s="165"/>
      <c r="M78" s="165"/>
      <c r="N78" s="165"/>
    </row>
    <row r="79" spans="1:14">
      <c r="A79" s="166" t="s">
        <v>70</v>
      </c>
      <c r="B79" s="166"/>
      <c r="C79" s="168"/>
      <c r="D79" s="165"/>
      <c r="E79" s="165"/>
      <c r="F79" s="165"/>
      <c r="G79" s="165"/>
      <c r="H79" s="165"/>
      <c r="I79" s="165"/>
      <c r="J79" s="165"/>
      <c r="K79" s="168">
        <v>20.403135299682617</v>
      </c>
      <c r="L79" s="168">
        <v>23.833791732788086</v>
      </c>
      <c r="M79" s="168">
        <v>22.372884750366211</v>
      </c>
      <c r="N79" s="168"/>
    </row>
    <row r="100" spans="1:13">
      <c r="A100" s="213" t="s">
        <v>73</v>
      </c>
      <c r="B100" s="213"/>
    </row>
    <row r="101" spans="1:13">
      <c r="A101" s="166"/>
      <c r="B101" s="166"/>
      <c r="C101" s="168"/>
      <c r="D101" s="165"/>
      <c r="E101" s="165"/>
      <c r="F101" s="165"/>
      <c r="G101" s="165"/>
      <c r="H101" s="165"/>
      <c r="I101" s="165"/>
      <c r="J101" s="165"/>
      <c r="K101" s="165"/>
      <c r="L101" s="165"/>
      <c r="M101" s="165"/>
    </row>
    <row r="102" spans="1:13">
      <c r="A102" s="165"/>
      <c r="B102" s="166">
        <v>44647</v>
      </c>
      <c r="C102" s="166">
        <v>44648</v>
      </c>
      <c r="D102" s="166">
        <v>44649</v>
      </c>
      <c r="E102" s="166">
        <v>44651</v>
      </c>
      <c r="F102" s="166">
        <v>44652</v>
      </c>
      <c r="G102" s="166">
        <v>44653</v>
      </c>
      <c r="H102" s="166">
        <v>44659</v>
      </c>
      <c r="I102" s="166">
        <v>44660</v>
      </c>
      <c r="J102" s="166">
        <v>44661</v>
      </c>
      <c r="K102" s="166">
        <v>44668</v>
      </c>
      <c r="L102" s="166">
        <v>44669</v>
      </c>
      <c r="M102" s="166">
        <v>44670</v>
      </c>
    </row>
    <row r="103" spans="1:13">
      <c r="A103" s="165" t="s">
        <v>74</v>
      </c>
      <c r="B103" s="167">
        <v>29.683855000000001</v>
      </c>
      <c r="C103" s="167">
        <v>29.835304000000001</v>
      </c>
      <c r="D103" s="167">
        <v>29.950524999999999</v>
      </c>
      <c r="E103" s="165"/>
      <c r="F103" s="165"/>
      <c r="G103" s="165"/>
      <c r="H103" s="165"/>
      <c r="I103" s="165"/>
      <c r="J103" s="165"/>
      <c r="K103" s="165"/>
      <c r="L103" s="165"/>
      <c r="M103" s="165"/>
    </row>
    <row r="104" spans="1:13">
      <c r="A104" s="165" t="s">
        <v>72</v>
      </c>
      <c r="B104" s="165"/>
      <c r="C104" s="165"/>
      <c r="D104" s="165"/>
      <c r="E104" s="167">
        <v>28.372121810913086</v>
      </c>
      <c r="F104" s="167">
        <v>28.928442001342773</v>
      </c>
      <c r="G104" s="165"/>
      <c r="H104" s="165"/>
      <c r="I104" s="165"/>
      <c r="J104" s="165"/>
      <c r="K104" s="165"/>
      <c r="L104" s="165"/>
      <c r="M104" s="165"/>
    </row>
    <row r="105" spans="1:13">
      <c r="A105" s="165" t="s">
        <v>68</v>
      </c>
      <c r="B105" s="165"/>
      <c r="C105" s="165"/>
      <c r="D105" s="165"/>
      <c r="E105" s="165"/>
      <c r="F105" s="165"/>
      <c r="G105" s="167">
        <v>28.025640487670898</v>
      </c>
      <c r="H105" s="167">
        <v>28.986474990844727</v>
      </c>
      <c r="I105" s="165"/>
      <c r="J105" s="165"/>
      <c r="K105" s="165"/>
      <c r="L105" s="165"/>
      <c r="M105" s="165"/>
    </row>
    <row r="106" spans="1:13">
      <c r="A106" s="165" t="s">
        <v>69</v>
      </c>
      <c r="B106" s="165"/>
      <c r="C106" s="165"/>
      <c r="D106" s="165"/>
      <c r="E106" s="165"/>
      <c r="F106" s="165"/>
      <c r="G106" s="165"/>
      <c r="H106" s="165"/>
      <c r="I106" s="167">
        <v>28.785882949829102</v>
      </c>
      <c r="J106" s="167">
        <v>28.424814224243164</v>
      </c>
      <c r="K106" s="165"/>
      <c r="L106" s="165"/>
      <c r="M106" s="165"/>
    </row>
    <row r="107" spans="1:13">
      <c r="A107" s="165" t="s">
        <v>70</v>
      </c>
      <c r="B107" s="165"/>
      <c r="C107" s="165"/>
      <c r="D107" s="165"/>
      <c r="E107" s="165"/>
      <c r="F107" s="165"/>
      <c r="G107" s="165"/>
      <c r="H107" s="165"/>
      <c r="I107" s="165"/>
      <c r="J107" s="165"/>
      <c r="K107" s="168">
        <v>28.952667236328125</v>
      </c>
      <c r="L107" s="168">
        <v>29.5516357421875</v>
      </c>
      <c r="M107" s="168">
        <v>29.359251022338867</v>
      </c>
    </row>
    <row r="132" spans="1:11">
      <c r="A132" s="213" t="s">
        <v>75</v>
      </c>
      <c r="B132" s="213"/>
    </row>
    <row r="133" spans="1:11">
      <c r="A133" s="165"/>
      <c r="B133" s="169" t="s">
        <v>76</v>
      </c>
      <c r="C133" s="169" t="s">
        <v>77</v>
      </c>
      <c r="D133" s="169" t="s">
        <v>78</v>
      </c>
      <c r="E133" s="169" t="s">
        <v>79</v>
      </c>
      <c r="F133" s="169" t="s">
        <v>80</v>
      </c>
      <c r="G133" s="169" t="s">
        <v>81</v>
      </c>
      <c r="H133" s="169" t="s">
        <v>82</v>
      </c>
      <c r="I133" s="169" t="s">
        <v>83</v>
      </c>
      <c r="J133" s="169" t="s">
        <v>84</v>
      </c>
      <c r="K133" s="169" t="s">
        <v>85</v>
      </c>
    </row>
    <row r="134" spans="1:11">
      <c r="A134" s="165" t="s">
        <v>86</v>
      </c>
      <c r="B134" s="168">
        <v>36.152672800000005</v>
      </c>
      <c r="C134" s="168">
        <v>35.939774749999998</v>
      </c>
      <c r="D134" s="168">
        <v>37.088626000000005</v>
      </c>
      <c r="E134" s="168">
        <v>34.476025</v>
      </c>
      <c r="F134" s="168">
        <v>36.398229499999992</v>
      </c>
      <c r="G134" s="165"/>
      <c r="H134" s="165"/>
      <c r="I134" s="165"/>
      <c r="J134" s="165"/>
      <c r="K134" s="165"/>
    </row>
    <row r="135" spans="1:11">
      <c r="A135" s="165" t="s">
        <v>68</v>
      </c>
      <c r="B135" s="165"/>
      <c r="C135" s="165"/>
      <c r="D135" s="165"/>
      <c r="E135" s="165"/>
      <c r="F135" s="165"/>
      <c r="G135" s="168">
        <v>37.339698791503906</v>
      </c>
      <c r="H135" s="165"/>
      <c r="I135" s="165"/>
      <c r="J135" s="165"/>
      <c r="K135" s="165"/>
    </row>
    <row r="136" spans="1:11">
      <c r="A136" s="165" t="s">
        <v>69</v>
      </c>
      <c r="B136" s="165"/>
      <c r="C136" s="165"/>
      <c r="D136" s="165"/>
      <c r="E136" s="165"/>
      <c r="F136" s="165"/>
      <c r="G136" s="165"/>
      <c r="H136" s="168">
        <v>37.027652740478516</v>
      </c>
      <c r="I136" s="168">
        <v>36.451797485351563</v>
      </c>
      <c r="J136" s="165"/>
      <c r="K136" s="165"/>
    </row>
    <row r="137" spans="1:11">
      <c r="A137" s="165" t="s">
        <v>70</v>
      </c>
      <c r="B137" s="165"/>
      <c r="C137" s="165"/>
      <c r="D137" s="165"/>
      <c r="E137" s="165"/>
      <c r="F137" s="165"/>
      <c r="G137" s="165"/>
      <c r="H137" s="165"/>
      <c r="I137" s="165"/>
      <c r="J137" s="168">
        <v>35.792873382568359</v>
      </c>
      <c r="K137" s="168">
        <v>36.795833587646484</v>
      </c>
    </row>
  </sheetData>
  <mergeCells count="11">
    <mergeCell ref="A41:C41"/>
    <mergeCell ref="I1:P1"/>
    <mergeCell ref="Q1:X1"/>
    <mergeCell ref="Y1:AF1"/>
    <mergeCell ref="A73:C73"/>
    <mergeCell ref="A100:B100"/>
    <mergeCell ref="A132:B132"/>
    <mergeCell ref="C48:C49"/>
    <mergeCell ref="C50:C52"/>
    <mergeCell ref="C53:C55"/>
    <mergeCell ref="C56:C5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047E3-F3CD-43A7-A103-DA677E844F34}">
  <sheetPr filterMode="1"/>
  <dimension ref="B2:AI23"/>
  <sheetViews>
    <sheetView workbookViewId="0">
      <selection activeCell="D32" sqref="D32"/>
    </sheetView>
  </sheetViews>
  <sheetFormatPr defaultRowHeight="15"/>
  <cols>
    <col min="2" max="2" width="11.7109375" bestFit="1" customWidth="1"/>
    <col min="3" max="3" width="13.42578125" bestFit="1" customWidth="1"/>
    <col min="4" max="4" width="10.5703125" customWidth="1"/>
    <col min="5" max="5" width="15.5703125" bestFit="1" customWidth="1"/>
    <col min="6" max="6" width="16.7109375" bestFit="1" customWidth="1"/>
    <col min="7" max="7" width="17.5703125" bestFit="1" customWidth="1"/>
    <col min="8" max="8" width="9.7109375" customWidth="1"/>
    <col min="9" max="9" width="32.140625" bestFit="1" customWidth="1"/>
    <col min="10" max="10" width="32.140625" customWidth="1"/>
  </cols>
  <sheetData>
    <row r="2" spans="2:35">
      <c r="B2" t="s">
        <v>3</v>
      </c>
      <c r="C2" t="s">
        <v>87</v>
      </c>
      <c r="D2" t="s">
        <v>37</v>
      </c>
      <c r="E2" t="s">
        <v>5</v>
      </c>
      <c r="F2" t="s">
        <v>6</v>
      </c>
      <c r="G2" t="s">
        <v>7</v>
      </c>
      <c r="H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10</v>
      </c>
      <c r="U2" t="s">
        <v>11</v>
      </c>
      <c r="V2" t="s">
        <v>12</v>
      </c>
      <c r="W2" t="s">
        <v>13</v>
      </c>
      <c r="X2" t="s">
        <v>14</v>
      </c>
      <c r="Y2" t="s">
        <v>15</v>
      </c>
      <c r="Z2" t="s">
        <v>16</v>
      </c>
      <c r="AA2" t="s">
        <v>17</v>
      </c>
      <c r="AB2" t="s">
        <v>10</v>
      </c>
      <c r="AC2" t="s">
        <v>11</v>
      </c>
      <c r="AD2" t="s">
        <v>12</v>
      </c>
      <c r="AE2" t="s">
        <v>13</v>
      </c>
      <c r="AF2" t="s">
        <v>14</v>
      </c>
      <c r="AG2" t="s">
        <v>15</v>
      </c>
      <c r="AH2" t="s">
        <v>16</v>
      </c>
      <c r="AI2" t="s">
        <v>17</v>
      </c>
    </row>
    <row r="3" spans="2:35">
      <c r="B3">
        <v>44647</v>
      </c>
      <c r="C3" t="s">
        <v>18</v>
      </c>
      <c r="D3">
        <v>1</v>
      </c>
      <c r="E3" t="s">
        <v>19</v>
      </c>
      <c r="F3" t="s">
        <v>20</v>
      </c>
      <c r="G3">
        <v>1.6</v>
      </c>
      <c r="I3" t="s">
        <v>88</v>
      </c>
      <c r="J3">
        <v>24</v>
      </c>
      <c r="K3">
        <v>25.1</v>
      </c>
      <c r="L3">
        <v>27.428000000000001</v>
      </c>
      <c r="M3">
        <v>27.32</v>
      </c>
      <c r="N3">
        <v>27.181999999999999</v>
      </c>
      <c r="O3">
        <v>27.310000000000002</v>
      </c>
      <c r="P3">
        <v>0.123</v>
      </c>
      <c r="Q3">
        <v>3406.59</v>
      </c>
      <c r="R3">
        <v>3655.3150000000001</v>
      </c>
      <c r="S3">
        <v>3997.8670000000002</v>
      </c>
      <c r="T3">
        <v>24.315000000000001</v>
      </c>
      <c r="U3">
        <v>24.263999999999999</v>
      </c>
      <c r="V3">
        <v>24.241</v>
      </c>
      <c r="W3">
        <v>24.273</v>
      </c>
      <c r="X3">
        <v>3.7999999999999999E-2</v>
      </c>
      <c r="Y3">
        <v>26489.164000000001</v>
      </c>
      <c r="Z3">
        <v>27388.748</v>
      </c>
      <c r="AA3">
        <v>27796.918000000001</v>
      </c>
      <c r="AB3">
        <v>29.712772369384766</v>
      </c>
      <c r="AC3">
        <v>29.741931915283203</v>
      </c>
      <c r="AD3">
        <v>29.59686279296875</v>
      </c>
      <c r="AE3">
        <v>29.683855000000001</v>
      </c>
      <c r="AF3">
        <v>7.6735869999999998E-2</v>
      </c>
      <c r="AG3">
        <v>844.43535999999995</v>
      </c>
      <c r="AH3">
        <v>828.36914000000002</v>
      </c>
      <c r="AI3">
        <v>911.43975999999998</v>
      </c>
    </row>
    <row r="4" spans="2:35">
      <c r="B4">
        <v>44648</v>
      </c>
      <c r="C4" t="s">
        <v>22</v>
      </c>
      <c r="D4">
        <v>1</v>
      </c>
      <c r="E4" t="s">
        <v>19</v>
      </c>
      <c r="F4" t="s">
        <v>20</v>
      </c>
      <c r="G4">
        <v>1.6</v>
      </c>
      <c r="I4" t="s">
        <v>88</v>
      </c>
      <c r="J4">
        <v>24</v>
      </c>
      <c r="K4">
        <v>16.5</v>
      </c>
      <c r="L4">
        <v>29.856000000000002</v>
      </c>
      <c r="M4">
        <v>29.948</v>
      </c>
      <c r="N4">
        <v>30.012</v>
      </c>
      <c r="O4">
        <v>29.938666666666666</v>
      </c>
      <c r="P4">
        <v>7.9000000000000001E-2</v>
      </c>
      <c r="Q4">
        <v>701.10900000000004</v>
      </c>
      <c r="R4">
        <v>660.23599999999999</v>
      </c>
      <c r="S4">
        <v>633.25099999999998</v>
      </c>
      <c r="T4">
        <v>21.818999999999999</v>
      </c>
      <c r="U4">
        <v>21.843</v>
      </c>
      <c r="V4">
        <v>21.759</v>
      </c>
      <c r="W4">
        <v>21.806999999999999</v>
      </c>
      <c r="X4">
        <v>4.2999999999999997E-2</v>
      </c>
      <c r="Y4">
        <v>135540.5</v>
      </c>
      <c r="Z4">
        <v>133438.16</v>
      </c>
      <c r="AA4">
        <v>140961.4</v>
      </c>
      <c r="AB4">
        <v>29.803848266601563</v>
      </c>
      <c r="AC4">
        <v>29.979055404663086</v>
      </c>
      <c r="AD4">
        <v>29.72300910949707</v>
      </c>
      <c r="AE4">
        <v>29.835304000000001</v>
      </c>
      <c r="AF4">
        <v>0.13088939999999999</v>
      </c>
      <c r="AG4">
        <v>795.26110000000006</v>
      </c>
      <c r="AH4">
        <v>708.57079999999996</v>
      </c>
      <c r="AI4">
        <v>838.76</v>
      </c>
    </row>
    <row r="5" spans="2:35">
      <c r="B5">
        <v>44649</v>
      </c>
      <c r="C5" t="s">
        <v>23</v>
      </c>
      <c r="D5">
        <v>1</v>
      </c>
      <c r="E5" t="s">
        <v>19</v>
      </c>
      <c r="F5" t="s">
        <v>20</v>
      </c>
      <c r="G5">
        <v>1.6</v>
      </c>
      <c r="I5" t="s">
        <v>88</v>
      </c>
      <c r="J5">
        <v>24</v>
      </c>
      <c r="K5">
        <v>20.100000000000001</v>
      </c>
      <c r="L5">
        <v>29.936</v>
      </c>
      <c r="M5">
        <v>29.977</v>
      </c>
      <c r="N5">
        <v>29.978999999999999</v>
      </c>
      <c r="O5">
        <v>29.963999999999999</v>
      </c>
      <c r="P5">
        <v>2.4E-2</v>
      </c>
      <c r="Q5">
        <v>665.46</v>
      </c>
      <c r="R5">
        <v>648.04700000000003</v>
      </c>
      <c r="S5">
        <v>647.22900000000004</v>
      </c>
      <c r="T5">
        <v>21.748000000000001</v>
      </c>
      <c r="U5">
        <v>21.789000000000001</v>
      </c>
      <c r="V5">
        <v>21.768000000000001</v>
      </c>
      <c r="W5">
        <v>21.768000000000001</v>
      </c>
      <c r="X5">
        <v>0.02</v>
      </c>
      <c r="Y5">
        <v>141918.19</v>
      </c>
      <c r="Z5">
        <v>138210.94</v>
      </c>
      <c r="AA5">
        <v>140146.84</v>
      </c>
      <c r="AB5">
        <v>30.028522491455078</v>
      </c>
      <c r="AC5">
        <v>29.947378158569336</v>
      </c>
      <c r="AD5">
        <v>29.875675201416016</v>
      </c>
      <c r="AE5">
        <v>29.950524999999999</v>
      </c>
      <c r="AF5">
        <v>7.6472230000000002E-2</v>
      </c>
      <c r="AG5">
        <v>685.85260000000005</v>
      </c>
      <c r="AH5">
        <v>723.51260000000002</v>
      </c>
      <c r="AI5">
        <v>758.50800000000004</v>
      </c>
    </row>
    <row r="6" spans="2:35" hidden="1">
      <c r="B6">
        <v>44650</v>
      </c>
      <c r="C6" t="s">
        <v>24</v>
      </c>
      <c r="D6">
        <v>2</v>
      </c>
      <c r="E6" t="s">
        <v>19</v>
      </c>
      <c r="F6" t="s">
        <v>20</v>
      </c>
      <c r="G6">
        <v>1.6</v>
      </c>
      <c r="H6" t="s">
        <v>25</v>
      </c>
      <c r="I6" t="s">
        <v>88</v>
      </c>
      <c r="K6">
        <v>0.32400000000000001</v>
      </c>
      <c r="L6">
        <v>31.376000000000001</v>
      </c>
      <c r="M6">
        <v>31.216999999999999</v>
      </c>
      <c r="N6">
        <v>31.241</v>
      </c>
      <c r="O6">
        <v>31.278000000000002</v>
      </c>
      <c r="P6">
        <v>8.5999999999999993E-2</v>
      </c>
      <c r="Q6">
        <v>260.56</v>
      </c>
      <c r="R6">
        <v>289</v>
      </c>
      <c r="S6">
        <v>284.49099999999999</v>
      </c>
      <c r="T6">
        <v>27.359000000000002</v>
      </c>
      <c r="U6">
        <v>27.263000000000002</v>
      </c>
      <c r="V6">
        <v>27.507999999999999</v>
      </c>
      <c r="W6">
        <v>27.376999999999999</v>
      </c>
      <c r="X6">
        <v>0.124</v>
      </c>
      <c r="Y6">
        <v>3617.973</v>
      </c>
      <c r="Z6">
        <v>3852.5349999999999</v>
      </c>
      <c r="AA6">
        <v>3281.2820000000002</v>
      </c>
      <c r="AB6">
        <v>30.874397277832031</v>
      </c>
      <c r="AC6">
        <v>30.609296798706055</v>
      </c>
      <c r="AD6">
        <v>30.777742385864258</v>
      </c>
      <c r="AE6">
        <v>30.753813000000001</v>
      </c>
      <c r="AF6">
        <v>0.13416056000000001</v>
      </c>
      <c r="AG6">
        <v>392.85050000000001</v>
      </c>
      <c r="AH6">
        <v>467.81286999999998</v>
      </c>
      <c r="AI6">
        <v>418.67797999999999</v>
      </c>
    </row>
    <row r="7" spans="2:35">
      <c r="B7">
        <v>44651</v>
      </c>
      <c r="C7" t="s">
        <v>18</v>
      </c>
      <c r="D7">
        <v>1</v>
      </c>
      <c r="E7" t="s">
        <v>19</v>
      </c>
      <c r="F7" t="s">
        <v>20</v>
      </c>
      <c r="G7">
        <v>1.6</v>
      </c>
      <c r="I7" t="s">
        <v>89</v>
      </c>
      <c r="J7">
        <v>2</v>
      </c>
      <c r="K7">
        <v>66.599999999999994</v>
      </c>
      <c r="L7">
        <v>28.269909999999999</v>
      </c>
      <c r="M7">
        <v>28.711770999999999</v>
      </c>
      <c r="N7">
        <v>28.568480999999998</v>
      </c>
      <c r="O7">
        <v>28.516721725463867</v>
      </c>
      <c r="P7">
        <v>0.22543172538280487</v>
      </c>
      <c r="Q7">
        <v>2352.798583984375</v>
      </c>
      <c r="R7">
        <v>1799.0321044921875</v>
      </c>
      <c r="S7">
        <v>1962.6064453125</v>
      </c>
      <c r="T7">
        <v>18.680689000000001</v>
      </c>
      <c r="U7">
        <v>18.526126999999999</v>
      </c>
      <c r="V7">
        <v>18.744195999999999</v>
      </c>
      <c r="W7">
        <v>18.650337219238281</v>
      </c>
      <c r="X7">
        <v>0.11215813457965851</v>
      </c>
      <c r="Y7">
        <v>50290100</v>
      </c>
      <c r="Z7">
        <v>57653636</v>
      </c>
      <c r="AA7">
        <v>47544348</v>
      </c>
      <c r="AB7">
        <v>28.235004</v>
      </c>
      <c r="AC7">
        <v>28.450602</v>
      </c>
      <c r="AD7">
        <v>28.430761</v>
      </c>
      <c r="AE7">
        <v>28.372121810913086</v>
      </c>
      <c r="AF7">
        <v>0.11916133016347885</v>
      </c>
      <c r="AG7">
        <v>2986.1982421875</v>
      </c>
      <c r="AH7">
        <v>2604.44775390625</v>
      </c>
      <c r="AI7">
        <v>2637.4375</v>
      </c>
    </row>
    <row r="8" spans="2:35">
      <c r="B8">
        <v>44652</v>
      </c>
      <c r="C8" t="s">
        <v>22</v>
      </c>
      <c r="D8">
        <v>1</v>
      </c>
      <c r="E8" t="s">
        <v>19</v>
      </c>
      <c r="F8" t="s">
        <v>20</v>
      </c>
      <c r="G8">
        <v>1.6</v>
      </c>
      <c r="I8" t="s">
        <v>89</v>
      </c>
      <c r="J8">
        <v>2</v>
      </c>
      <c r="K8">
        <v>69.400000000000006</v>
      </c>
      <c r="L8">
        <v>29.495111000000001</v>
      </c>
      <c r="M8">
        <v>29.440916000000001</v>
      </c>
      <c r="N8">
        <v>29.493279999999999</v>
      </c>
      <c r="O8">
        <v>29.476434707641602</v>
      </c>
      <c r="P8">
        <v>3.0774772167205811E-2</v>
      </c>
      <c r="Q8">
        <v>1117.9532470703125</v>
      </c>
      <c r="R8">
        <v>1155.3626708984375</v>
      </c>
      <c r="S8">
        <v>1119.1971435546875</v>
      </c>
      <c r="T8">
        <v>19.217354</v>
      </c>
      <c r="U8">
        <v>19.152560999999999</v>
      </c>
      <c r="V8">
        <v>19.158745</v>
      </c>
      <c r="W8">
        <v>19.176219940185547</v>
      </c>
      <c r="X8">
        <v>3.5756908357143402E-2</v>
      </c>
      <c r="Y8">
        <v>31291726</v>
      </c>
      <c r="Z8">
        <v>33136506</v>
      </c>
      <c r="AA8">
        <v>32955848</v>
      </c>
      <c r="AB8">
        <v>29.039103999999998</v>
      </c>
      <c r="AC8">
        <v>28.811398000000001</v>
      </c>
      <c r="AD8">
        <v>28.934823999999999</v>
      </c>
      <c r="AE8">
        <v>28.928442001342773</v>
      </c>
      <c r="AF8">
        <v>0.11398752778768539</v>
      </c>
      <c r="AG8">
        <v>1792.944580078125</v>
      </c>
      <c r="AH8">
        <v>2071.602294921875</v>
      </c>
      <c r="AI8">
        <v>1915.5743408203125</v>
      </c>
    </row>
    <row r="9" spans="2:35" hidden="1">
      <c r="B9" t="s">
        <v>27</v>
      </c>
      <c r="C9" t="s">
        <v>28</v>
      </c>
      <c r="D9">
        <v>2</v>
      </c>
      <c r="I9" t="s">
        <v>89</v>
      </c>
      <c r="K9">
        <v>0</v>
      </c>
      <c r="L9" t="s">
        <v>29</v>
      </c>
      <c r="M9" t="s">
        <v>29</v>
      </c>
      <c r="N9" t="s">
        <v>29</v>
      </c>
      <c r="T9" t="s">
        <v>29</v>
      </c>
      <c r="U9" t="s">
        <v>29</v>
      </c>
      <c r="V9" t="s">
        <v>29</v>
      </c>
      <c r="AB9" t="s">
        <v>29</v>
      </c>
      <c r="AC9" t="s">
        <v>29</v>
      </c>
      <c r="AD9" t="s">
        <v>29</v>
      </c>
    </row>
    <row r="10" spans="2:35">
      <c r="B10">
        <v>44653</v>
      </c>
      <c r="C10" t="s">
        <v>23</v>
      </c>
      <c r="D10">
        <v>1</v>
      </c>
      <c r="E10" t="s">
        <v>19</v>
      </c>
      <c r="F10" t="s">
        <v>20</v>
      </c>
      <c r="G10">
        <v>1.6</v>
      </c>
      <c r="I10" t="s">
        <v>30</v>
      </c>
      <c r="J10">
        <v>1</v>
      </c>
      <c r="K10">
        <v>59.4</v>
      </c>
      <c r="L10">
        <v>22.937843000000001</v>
      </c>
      <c r="M10">
        <v>22.965257999999999</v>
      </c>
      <c r="N10">
        <v>22.979251999999999</v>
      </c>
      <c r="O10">
        <v>22.960784912109375</v>
      </c>
      <c r="P10">
        <v>2.106359601020813E-2</v>
      </c>
      <c r="Q10">
        <v>59976.38671875</v>
      </c>
      <c r="R10">
        <v>58986.06640625</v>
      </c>
      <c r="S10">
        <v>58486.859375</v>
      </c>
      <c r="T10">
        <v>19.787013999999999</v>
      </c>
      <c r="U10">
        <v>19.727160000000001</v>
      </c>
      <c r="V10">
        <v>19.716866</v>
      </c>
      <c r="W10">
        <v>19.743679046630859</v>
      </c>
      <c r="X10">
        <v>3.7879932671785355E-2</v>
      </c>
      <c r="Y10">
        <v>18910718</v>
      </c>
      <c r="Z10">
        <v>19938348</v>
      </c>
      <c r="AA10">
        <v>20120630</v>
      </c>
      <c r="AB10">
        <v>28.027159999999999</v>
      </c>
      <c r="AC10">
        <v>27.973472999999998</v>
      </c>
      <c r="AD10">
        <v>28.076283</v>
      </c>
      <c r="AE10">
        <v>28.025640487670898</v>
      </c>
      <c r="AF10">
        <v>5.1421850919723511E-2</v>
      </c>
      <c r="AG10">
        <v>3407.103515625</v>
      </c>
      <c r="AH10">
        <v>3525.15234375</v>
      </c>
      <c r="AI10">
        <v>3302.5615234375</v>
      </c>
    </row>
    <row r="11" spans="2:35" hidden="1">
      <c r="B11">
        <v>44654</v>
      </c>
      <c r="C11" t="s">
        <v>24</v>
      </c>
      <c r="D11">
        <v>2</v>
      </c>
      <c r="E11" t="s">
        <v>19</v>
      </c>
      <c r="F11" t="s">
        <v>20</v>
      </c>
      <c r="G11">
        <v>1.6</v>
      </c>
      <c r="H11" t="s">
        <v>31</v>
      </c>
      <c r="I11" t="s">
        <v>30</v>
      </c>
      <c r="K11">
        <v>0.99299999999999999</v>
      </c>
      <c r="L11">
        <v>30.61703</v>
      </c>
      <c r="M11">
        <v>30.710367000000002</v>
      </c>
      <c r="N11">
        <v>30.540243</v>
      </c>
      <c r="O11">
        <v>30.62254524230957</v>
      </c>
      <c r="P11">
        <v>8.5196122527122498E-2</v>
      </c>
      <c r="Q11">
        <v>565.59381103515625</v>
      </c>
      <c r="R11">
        <v>534.423583984375</v>
      </c>
      <c r="S11">
        <v>592.5948486328125</v>
      </c>
      <c r="T11">
        <v>26.574636000000002</v>
      </c>
      <c r="U11">
        <v>26.642433</v>
      </c>
      <c r="V11">
        <v>26.620953</v>
      </c>
      <c r="W11">
        <v>26.612672805786133</v>
      </c>
      <c r="X11">
        <v>3.4648217260837555E-2</v>
      </c>
      <c r="Y11">
        <v>46837.59375</v>
      </c>
      <c r="Z11">
        <v>44112.734375</v>
      </c>
      <c r="AA11">
        <v>44958.4609375</v>
      </c>
      <c r="AB11">
        <v>29.489687</v>
      </c>
      <c r="AC11">
        <v>29.690446999999999</v>
      </c>
      <c r="AD11">
        <v>29.53614</v>
      </c>
      <c r="AE11">
        <v>29.572090148925781</v>
      </c>
      <c r="AF11">
        <v>0.10509751737117767</v>
      </c>
      <c r="AG11">
        <v>1347.1591796875</v>
      </c>
      <c r="AH11">
        <v>1186.0528564453125</v>
      </c>
      <c r="AI11">
        <v>1308.0360107421875</v>
      </c>
    </row>
    <row r="12" spans="2:35">
      <c r="B12">
        <v>44659</v>
      </c>
      <c r="C12" t="s">
        <v>18</v>
      </c>
      <c r="D12">
        <v>1</v>
      </c>
      <c r="E12" t="s">
        <v>19</v>
      </c>
      <c r="F12" t="s">
        <v>20</v>
      </c>
      <c r="G12">
        <v>1.6</v>
      </c>
      <c r="I12" t="s">
        <v>30</v>
      </c>
      <c r="J12">
        <v>1</v>
      </c>
      <c r="K12">
        <v>53.4</v>
      </c>
      <c r="L12">
        <v>30.218195000000001</v>
      </c>
      <c r="M12">
        <v>30.411899999999999</v>
      </c>
      <c r="N12">
        <v>30.389261000000001</v>
      </c>
      <c r="O12">
        <v>30.339784622192383</v>
      </c>
      <c r="P12">
        <v>0.10590691119432449</v>
      </c>
      <c r="Q12">
        <v>720.61260986328125</v>
      </c>
      <c r="R12">
        <v>640.63397216796875</v>
      </c>
      <c r="S12">
        <v>649.5029296875</v>
      </c>
      <c r="T12">
        <v>24.361211999999998</v>
      </c>
      <c r="U12">
        <v>24.284936999999999</v>
      </c>
      <c r="V12">
        <v>24.350038999999999</v>
      </c>
      <c r="W12">
        <v>24.332061767578125</v>
      </c>
      <c r="X12">
        <v>4.1192471981048584E-2</v>
      </c>
      <c r="Y12">
        <v>331467.4375</v>
      </c>
      <c r="Z12">
        <v>354590.15625</v>
      </c>
      <c r="AA12">
        <v>334757.90625</v>
      </c>
      <c r="AB12">
        <v>28.973621000000001</v>
      </c>
      <c r="AC12">
        <v>29.074466999999999</v>
      </c>
      <c r="AD12">
        <v>28.911339999999999</v>
      </c>
      <c r="AE12">
        <v>28.986474990844727</v>
      </c>
      <c r="AF12">
        <v>8.2319244742393494E-2</v>
      </c>
      <c r="AG12">
        <v>1868.999755859375</v>
      </c>
      <c r="AH12">
        <v>1753.168212890625</v>
      </c>
      <c r="AI12">
        <v>1944.326904296875</v>
      </c>
    </row>
    <row r="13" spans="2:35" hidden="1">
      <c r="B13" t="s">
        <v>32</v>
      </c>
      <c r="C13" t="s">
        <v>28</v>
      </c>
      <c r="D13">
        <v>2</v>
      </c>
      <c r="I13" t="s">
        <v>30</v>
      </c>
      <c r="K13">
        <v>0</v>
      </c>
      <c r="L13" t="s">
        <v>29</v>
      </c>
      <c r="M13" t="s">
        <v>29</v>
      </c>
      <c r="N13" t="s">
        <v>29</v>
      </c>
      <c r="T13" t="s">
        <v>29</v>
      </c>
      <c r="U13" t="s">
        <v>29</v>
      </c>
      <c r="V13" t="s">
        <v>29</v>
      </c>
      <c r="AB13" t="s">
        <v>29</v>
      </c>
      <c r="AC13" t="s">
        <v>29</v>
      </c>
      <c r="AD13" t="s">
        <v>29</v>
      </c>
    </row>
    <row r="14" spans="2:35">
      <c r="B14">
        <v>44660</v>
      </c>
      <c r="C14" t="s">
        <v>22</v>
      </c>
      <c r="D14">
        <v>1</v>
      </c>
      <c r="E14" t="s">
        <v>19</v>
      </c>
      <c r="F14" t="s">
        <v>20</v>
      </c>
      <c r="G14">
        <v>1.6</v>
      </c>
      <c r="I14" t="s">
        <v>33</v>
      </c>
      <c r="J14">
        <v>0.5</v>
      </c>
      <c r="K14">
        <v>62.4</v>
      </c>
      <c r="L14">
        <v>29.643421</v>
      </c>
      <c r="M14">
        <v>29.636811999999999</v>
      </c>
      <c r="N14">
        <v>29.692855999999999</v>
      </c>
      <c r="O14">
        <v>29.657693862915039</v>
      </c>
      <c r="P14">
        <v>3.0627744272351265E-2</v>
      </c>
      <c r="Q14">
        <v>1021.6572265625</v>
      </c>
      <c r="R14">
        <v>1025.7662353515625</v>
      </c>
      <c r="S14">
        <v>991.43951416015625</v>
      </c>
      <c r="T14">
        <v>22.265867</v>
      </c>
      <c r="U14">
        <v>22.365807</v>
      </c>
      <c r="V14">
        <v>22.331002999999999</v>
      </c>
      <c r="W14">
        <v>22.320892333984375</v>
      </c>
      <c r="X14">
        <v>5.0731059163808823E-2</v>
      </c>
      <c r="Y14">
        <v>2113246.75</v>
      </c>
      <c r="Z14">
        <v>1934543</v>
      </c>
      <c r="AA14">
        <v>1994992.125</v>
      </c>
      <c r="AB14">
        <v>28.707094000000001</v>
      </c>
      <c r="AC14">
        <v>28.837885</v>
      </c>
      <c r="AD14">
        <v>28.812671999999999</v>
      </c>
      <c r="AE14">
        <v>28.785882949829102</v>
      </c>
      <c r="AF14">
        <v>6.9388419389724731E-2</v>
      </c>
      <c r="AG14">
        <v>2213.3232421875</v>
      </c>
      <c r="AH14">
        <v>2037.08154296875</v>
      </c>
      <c r="AI14">
        <v>2069.928466796875</v>
      </c>
    </row>
    <row r="15" spans="2:35">
      <c r="B15">
        <v>44661</v>
      </c>
      <c r="C15" t="s">
        <v>23</v>
      </c>
      <c r="D15">
        <v>1</v>
      </c>
      <c r="E15" t="s">
        <v>19</v>
      </c>
      <c r="F15" t="s">
        <v>20</v>
      </c>
      <c r="G15">
        <v>1.6</v>
      </c>
      <c r="I15" t="s">
        <v>33</v>
      </c>
      <c r="J15">
        <v>0.5</v>
      </c>
      <c r="K15">
        <v>54.8</v>
      </c>
      <c r="L15">
        <v>29.793955</v>
      </c>
      <c r="M15">
        <v>29.695979999999999</v>
      </c>
      <c r="N15">
        <v>29.984804</v>
      </c>
      <c r="O15">
        <v>29.824913024902344</v>
      </c>
      <c r="P15">
        <v>0.14687968790531158</v>
      </c>
      <c r="Q15">
        <v>932.3955078125</v>
      </c>
      <c r="R15">
        <v>989.56011962890625</v>
      </c>
      <c r="S15">
        <v>830.3504638671875</v>
      </c>
      <c r="T15">
        <v>25.323893000000002</v>
      </c>
      <c r="U15">
        <v>25.369527999999999</v>
      </c>
      <c r="V15">
        <v>25.319208</v>
      </c>
      <c r="W15">
        <v>25.337541580200195</v>
      </c>
      <c r="X15">
        <v>2.7798641473054886E-2</v>
      </c>
      <c r="Y15">
        <v>141520.296875</v>
      </c>
      <c r="Z15">
        <v>135924.28125</v>
      </c>
      <c r="AA15">
        <v>142107.609375</v>
      </c>
      <c r="AB15">
        <v>28.696155999999998</v>
      </c>
      <c r="AC15">
        <v>28.208061000000001</v>
      </c>
      <c r="AD15">
        <v>28.370225999999999</v>
      </c>
      <c r="AE15">
        <v>28.424814224243164</v>
      </c>
      <c r="AF15">
        <v>0.24858385324478149</v>
      </c>
      <c r="AG15">
        <v>2228.736572265625</v>
      </c>
      <c r="AH15">
        <v>3037.681396484375</v>
      </c>
      <c r="AI15">
        <v>2740.69921875</v>
      </c>
    </row>
    <row r="16" spans="2:35" hidden="1">
      <c r="B16">
        <v>44667</v>
      </c>
      <c r="C16" t="s">
        <v>24</v>
      </c>
      <c r="D16">
        <v>2</v>
      </c>
      <c r="E16" t="s">
        <v>19</v>
      </c>
      <c r="F16" t="s">
        <v>20</v>
      </c>
      <c r="G16">
        <v>1.6</v>
      </c>
      <c r="H16" t="s">
        <v>34</v>
      </c>
      <c r="I16" t="s">
        <v>33</v>
      </c>
      <c r="K16">
        <v>0.44800000000000001</v>
      </c>
      <c r="L16">
        <v>31.980056999999999</v>
      </c>
      <c r="M16">
        <v>32.269688000000002</v>
      </c>
      <c r="N16">
        <v>32.036456999999999</v>
      </c>
      <c r="O16">
        <v>32.095401763916016</v>
      </c>
      <c r="P16">
        <v>0.15354888141155243</v>
      </c>
      <c r="Q16">
        <v>247.16676330566406</v>
      </c>
      <c r="R16">
        <v>207.29866027832031</v>
      </c>
      <c r="S16">
        <v>238.84371948242188</v>
      </c>
      <c r="T16">
        <v>30.408072000000001</v>
      </c>
      <c r="U16">
        <v>30.324200000000001</v>
      </c>
      <c r="V16">
        <v>30.378798</v>
      </c>
      <c r="W16">
        <v>30.370355606079102</v>
      </c>
      <c r="X16">
        <v>4.2568333446979523E-2</v>
      </c>
      <c r="Y16">
        <v>1580.31591796875</v>
      </c>
      <c r="Z16">
        <v>1701.9490966796875</v>
      </c>
      <c r="AA16">
        <v>1621.7491455078125</v>
      </c>
      <c r="AB16">
        <v>33.522922999999999</v>
      </c>
      <c r="AC16">
        <v>33.257874000000001</v>
      </c>
      <c r="AD16">
        <v>33.095329999999997</v>
      </c>
      <c r="AE16">
        <v>33.292041778564453</v>
      </c>
      <c r="AF16">
        <v>0.21583464741706848</v>
      </c>
      <c r="AG16">
        <v>104.26800537109375</v>
      </c>
      <c r="AH16">
        <v>123.36142730712891</v>
      </c>
      <c r="AI16">
        <v>136.76181030273438</v>
      </c>
    </row>
    <row r="17" spans="2:35" hidden="1">
      <c r="B17" t="s">
        <v>35</v>
      </c>
      <c r="C17" t="s">
        <v>28</v>
      </c>
      <c r="D17">
        <v>2</v>
      </c>
      <c r="I17" t="s">
        <v>33</v>
      </c>
      <c r="K17">
        <v>0</v>
      </c>
      <c r="L17" t="s">
        <v>29</v>
      </c>
      <c r="M17" t="s">
        <v>29</v>
      </c>
      <c r="N17" t="s">
        <v>29</v>
      </c>
      <c r="T17" t="s">
        <v>29</v>
      </c>
      <c r="U17" t="s">
        <v>29</v>
      </c>
      <c r="V17" t="s">
        <v>29</v>
      </c>
      <c r="AB17" t="s">
        <v>29</v>
      </c>
      <c r="AC17" t="s">
        <v>29</v>
      </c>
      <c r="AD17" t="s">
        <v>29</v>
      </c>
    </row>
    <row r="18" spans="2:35">
      <c r="B18">
        <v>44668</v>
      </c>
      <c r="C18" t="s">
        <v>18</v>
      </c>
      <c r="D18">
        <v>1</v>
      </c>
      <c r="E18" t="s">
        <v>19</v>
      </c>
      <c r="F18" t="s">
        <v>20</v>
      </c>
      <c r="G18">
        <v>1.6</v>
      </c>
      <c r="I18" t="s">
        <v>36</v>
      </c>
      <c r="J18">
        <v>0.25</v>
      </c>
      <c r="K18">
        <v>47.6</v>
      </c>
      <c r="L18">
        <v>30.616999</v>
      </c>
      <c r="M18">
        <v>31.081607999999999</v>
      </c>
      <c r="N18">
        <v>30.955272999999998</v>
      </c>
      <c r="O18">
        <v>30.884626388549805</v>
      </c>
      <c r="P18">
        <v>0.24022611975669861</v>
      </c>
      <c r="Q18">
        <v>531.63323974609375</v>
      </c>
      <c r="R18">
        <v>387.68084716796875</v>
      </c>
      <c r="S18">
        <v>422.43942260742188</v>
      </c>
      <c r="T18">
        <v>20.359411000000001</v>
      </c>
      <c r="U18">
        <v>20.511099999999999</v>
      </c>
      <c r="V18">
        <v>20.338892000000001</v>
      </c>
      <c r="W18">
        <v>20.403135299682617</v>
      </c>
      <c r="X18">
        <v>9.4062581658363342E-2</v>
      </c>
      <c r="Y18">
        <v>2669118.25</v>
      </c>
      <c r="Z18">
        <v>2375789.75</v>
      </c>
      <c r="AA18">
        <v>2711484.5</v>
      </c>
      <c r="AB18">
        <v>28.817122000000001</v>
      </c>
      <c r="AC18">
        <v>28.950856999999999</v>
      </c>
      <c r="AD18">
        <v>29.090019999999999</v>
      </c>
      <c r="AE18">
        <v>28.952667236328125</v>
      </c>
      <c r="AF18">
        <v>0.13645784556865692</v>
      </c>
      <c r="AG18">
        <v>2537.860107421875</v>
      </c>
      <c r="AH18">
        <v>2321.488525390625</v>
      </c>
      <c r="AI18">
        <v>2115.899658203125</v>
      </c>
    </row>
    <row r="19" spans="2:35">
      <c r="B19">
        <v>44669</v>
      </c>
      <c r="C19" t="s">
        <v>22</v>
      </c>
      <c r="D19">
        <v>1</v>
      </c>
      <c r="E19" t="s">
        <v>19</v>
      </c>
      <c r="F19" t="s">
        <v>20</v>
      </c>
      <c r="G19">
        <v>1.6</v>
      </c>
      <c r="I19" t="s">
        <v>36</v>
      </c>
      <c r="J19">
        <v>0.25</v>
      </c>
      <c r="K19">
        <v>53.2</v>
      </c>
      <c r="L19">
        <v>30.791931000000002</v>
      </c>
      <c r="M19">
        <v>30.697141999999999</v>
      </c>
      <c r="N19">
        <v>30.967110000000002</v>
      </c>
      <c r="O19">
        <v>30.818727493286133</v>
      </c>
      <c r="P19">
        <v>0.13696429133415222</v>
      </c>
      <c r="Q19">
        <v>472.03872680664063</v>
      </c>
      <c r="R19">
        <v>503.45016479492188</v>
      </c>
      <c r="S19">
        <v>419.05450439453125</v>
      </c>
      <c r="T19">
        <v>23.859363999999999</v>
      </c>
      <c r="U19">
        <v>23.782634999999999</v>
      </c>
      <c r="V19">
        <v>23.859369999999998</v>
      </c>
      <c r="W19">
        <v>23.833791732788086</v>
      </c>
      <c r="X19">
        <v>4.430105909705162E-2</v>
      </c>
      <c r="Y19">
        <v>181884.140625</v>
      </c>
      <c r="Z19">
        <v>192916.515625</v>
      </c>
      <c r="AA19">
        <v>181883.34375</v>
      </c>
      <c r="AB19">
        <v>29.638397000000001</v>
      </c>
      <c r="AC19">
        <v>29.439259</v>
      </c>
      <c r="AD19">
        <v>29.577252999999999</v>
      </c>
      <c r="AE19">
        <v>29.5516357421875</v>
      </c>
      <c r="AF19">
        <v>0.10201089084148407</v>
      </c>
      <c r="AG19">
        <v>1468.2584228515625</v>
      </c>
      <c r="AH19">
        <v>1676.603271484375</v>
      </c>
      <c r="AI19">
        <v>1529.31396484375</v>
      </c>
    </row>
    <row r="20" spans="2:35">
      <c r="B20">
        <v>44670</v>
      </c>
      <c r="C20" t="s">
        <v>23</v>
      </c>
      <c r="D20">
        <v>1</v>
      </c>
      <c r="E20" t="s">
        <v>19</v>
      </c>
      <c r="F20" t="s">
        <v>20</v>
      </c>
      <c r="G20">
        <v>1.6</v>
      </c>
      <c r="I20" t="s">
        <v>36</v>
      </c>
      <c r="J20">
        <v>0.25</v>
      </c>
      <c r="K20">
        <v>44.8</v>
      </c>
      <c r="L20">
        <v>30.854834</v>
      </c>
      <c r="M20">
        <v>30.969256999999999</v>
      </c>
      <c r="N20">
        <v>31.059819999999998</v>
      </c>
      <c r="O20">
        <v>30.9613037109375</v>
      </c>
      <c r="P20">
        <v>0.10272447764873505</v>
      </c>
      <c r="Q20">
        <v>452.28359985351563</v>
      </c>
      <c r="R20">
        <v>418.44329833984375</v>
      </c>
      <c r="S20">
        <v>393.46432495117188</v>
      </c>
      <c r="T20">
        <v>22.368884999999999</v>
      </c>
      <c r="U20">
        <v>22.342027999999999</v>
      </c>
      <c r="V20">
        <v>22.407743</v>
      </c>
      <c r="W20">
        <v>22.372884750366211</v>
      </c>
      <c r="X20">
        <v>3.3040028065443039E-2</v>
      </c>
      <c r="Y20">
        <v>570936.625</v>
      </c>
      <c r="Z20">
        <v>582827.125</v>
      </c>
      <c r="AA20">
        <v>554161</v>
      </c>
      <c r="AB20">
        <v>29.408981000000001</v>
      </c>
      <c r="AC20">
        <v>29.444334000000001</v>
      </c>
      <c r="AD20">
        <v>29.224437999999999</v>
      </c>
      <c r="AE20">
        <v>29.359251022338867</v>
      </c>
      <c r="AF20">
        <v>0.11808227747678757</v>
      </c>
      <c r="AG20">
        <v>1710.77197265625</v>
      </c>
      <c r="AH20">
        <v>1670.9427490234375</v>
      </c>
      <c r="AI20">
        <v>1934.6229248046875</v>
      </c>
    </row>
    <row r="21" spans="2:35" hidden="1">
      <c r="B21">
        <v>44671</v>
      </c>
      <c r="C21" t="s">
        <v>24</v>
      </c>
      <c r="D21">
        <v>2</v>
      </c>
      <c r="E21" t="s">
        <v>19</v>
      </c>
      <c r="F21" t="s">
        <v>20</v>
      </c>
      <c r="G21">
        <v>1.3</v>
      </c>
      <c r="I21" t="s">
        <v>36</v>
      </c>
      <c r="K21">
        <v>0.49199999999999999</v>
      </c>
      <c r="L21">
        <v>33.030014000000001</v>
      </c>
      <c r="M21">
        <v>32.838614999999997</v>
      </c>
      <c r="N21">
        <v>32.864277000000001</v>
      </c>
      <c r="O21">
        <v>32.910968780517578</v>
      </c>
      <c r="P21">
        <v>0.10389156639575958</v>
      </c>
      <c r="Q21">
        <v>103.12571716308594</v>
      </c>
      <c r="R21">
        <v>117.45235443115234</v>
      </c>
      <c r="S21">
        <v>115.42165374755859</v>
      </c>
      <c r="T21">
        <v>32.052745999999999</v>
      </c>
      <c r="U21">
        <v>32.069504000000002</v>
      </c>
      <c r="V21">
        <v>31.815930000000002</v>
      </c>
      <c r="W21">
        <v>31.979393005371094</v>
      </c>
      <c r="X21">
        <v>0.14181137084960938</v>
      </c>
      <c r="Y21">
        <v>337.94769287109375</v>
      </c>
      <c r="Z21">
        <v>333.62905883789063</v>
      </c>
      <c r="AA21">
        <v>405.30596923828125</v>
      </c>
      <c r="AB21">
        <v>34.138080000000002</v>
      </c>
      <c r="AC21">
        <v>34.683857000000003</v>
      </c>
      <c r="AD21">
        <v>34.637250000000002</v>
      </c>
      <c r="AE21">
        <v>34.486392974853516</v>
      </c>
      <c r="AF21">
        <v>0.30254840850830078</v>
      </c>
      <c r="AG21">
        <v>73.225120544433594</v>
      </c>
      <c r="AH21">
        <v>50.900306701660156</v>
      </c>
      <c r="AI21">
        <v>52.505893707275391</v>
      </c>
    </row>
    <row r="23" spans="2:35">
      <c r="C23" s="38" t="s">
        <v>90</v>
      </c>
    </row>
  </sheetData>
  <autoFilter ref="B2:AI21" xr:uid="{AC7047E3-F3CD-43A7-A103-DA677E844F34}">
    <filterColumn colId="2">
      <filters>
        <filter val="1"/>
      </filters>
    </filterColumn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1A9C-C1F3-44D5-A76A-43176B3FC14C}">
  <dimension ref="A1:AT77"/>
  <sheetViews>
    <sheetView workbookViewId="0">
      <selection activeCell="B20" sqref="B20"/>
    </sheetView>
  </sheetViews>
  <sheetFormatPr defaultRowHeight="15"/>
  <cols>
    <col min="1" max="1" width="23.28515625" bestFit="1" customWidth="1"/>
    <col min="2" max="2" width="10.85546875" bestFit="1" customWidth="1"/>
    <col min="3" max="3" width="16" bestFit="1" customWidth="1"/>
    <col min="4" max="4" width="47.28515625" bestFit="1" customWidth="1"/>
    <col min="5" max="5" width="19.42578125" customWidth="1"/>
    <col min="6" max="6" width="8" customWidth="1"/>
    <col min="7" max="7" width="8.28515625" customWidth="1"/>
    <col min="8" max="8" width="9.42578125" customWidth="1"/>
    <col min="9" max="9" width="6.85546875" bestFit="1" customWidth="1"/>
    <col min="10" max="10" width="9.7109375" bestFit="1" customWidth="1"/>
    <col min="11" max="12" width="5.5703125" bestFit="1" customWidth="1"/>
    <col min="14" max="14" width="6.85546875" bestFit="1" customWidth="1"/>
    <col min="15" max="15" width="11.5703125" customWidth="1"/>
    <col min="26" max="26" width="13.7109375" customWidth="1"/>
  </cols>
  <sheetData>
    <row r="1" spans="1:26" ht="15.75" thickBot="1">
      <c r="A1" s="224" t="s">
        <v>91</v>
      </c>
      <c r="B1" s="224"/>
      <c r="C1" s="224"/>
      <c r="E1" s="218" t="s">
        <v>92</v>
      </c>
      <c r="F1" s="219"/>
      <c r="G1" s="219"/>
      <c r="H1" s="219"/>
      <c r="I1" s="219"/>
      <c r="J1" s="219"/>
      <c r="K1" s="219"/>
      <c r="L1" s="219"/>
      <c r="M1" s="219"/>
      <c r="N1" s="219"/>
      <c r="O1" s="220"/>
      <c r="P1" s="232" t="s">
        <v>1</v>
      </c>
      <c r="Q1" s="233"/>
      <c r="R1" s="233"/>
      <c r="S1" s="233"/>
      <c r="T1" s="233"/>
      <c r="U1" s="233"/>
      <c r="V1" s="233"/>
      <c r="W1" s="233"/>
      <c r="X1" s="233"/>
      <c r="Y1" s="233"/>
      <c r="Z1" s="234"/>
    </row>
    <row r="2" spans="1:26" ht="15.75" thickBot="1">
      <c r="A2" s="15"/>
      <c r="E2" s="230" t="s">
        <v>93</v>
      </c>
      <c r="F2" s="231"/>
      <c r="G2" s="231"/>
      <c r="H2" s="231"/>
      <c r="I2" s="231"/>
      <c r="J2" s="230" t="s">
        <v>94</v>
      </c>
      <c r="K2" s="231"/>
      <c r="L2" s="231"/>
      <c r="M2" s="231"/>
      <c r="N2" s="231"/>
      <c r="O2" s="235"/>
      <c r="P2" s="230" t="s">
        <v>93</v>
      </c>
      <c r="Q2" s="231"/>
      <c r="R2" s="231"/>
      <c r="S2" s="231"/>
      <c r="T2" s="231"/>
      <c r="U2" s="230" t="s">
        <v>95</v>
      </c>
      <c r="V2" s="231"/>
      <c r="W2" s="231"/>
      <c r="X2" s="231"/>
      <c r="Y2" s="231"/>
      <c r="Z2" s="235"/>
    </row>
    <row r="3" spans="1:26" ht="45.75" thickBot="1">
      <c r="A3" s="16" t="s">
        <v>3</v>
      </c>
      <c r="B3" s="1" t="s">
        <v>4</v>
      </c>
      <c r="C3" s="1" t="s">
        <v>5</v>
      </c>
      <c r="D3" s="1" t="s">
        <v>8</v>
      </c>
      <c r="E3" s="19" t="s">
        <v>10</v>
      </c>
      <c r="F3" s="20" t="s">
        <v>11</v>
      </c>
      <c r="G3" s="20" t="s">
        <v>12</v>
      </c>
      <c r="H3" s="20" t="s">
        <v>13</v>
      </c>
      <c r="I3" s="20" t="s">
        <v>14</v>
      </c>
      <c r="J3" s="19" t="s">
        <v>10</v>
      </c>
      <c r="K3" s="20" t="s">
        <v>11</v>
      </c>
      <c r="L3" s="20" t="s">
        <v>12</v>
      </c>
      <c r="M3" s="20" t="s">
        <v>13</v>
      </c>
      <c r="N3" s="20" t="s">
        <v>14</v>
      </c>
      <c r="O3" s="21" t="s">
        <v>96</v>
      </c>
      <c r="P3" s="65" t="s">
        <v>10</v>
      </c>
      <c r="Q3" s="66" t="s">
        <v>11</v>
      </c>
      <c r="R3" s="66" t="s">
        <v>12</v>
      </c>
      <c r="S3" s="66" t="s">
        <v>13</v>
      </c>
      <c r="T3" s="67" t="s">
        <v>14</v>
      </c>
      <c r="U3" s="19" t="s">
        <v>10</v>
      </c>
      <c r="V3" s="20" t="s">
        <v>11</v>
      </c>
      <c r="W3" s="20" t="s">
        <v>12</v>
      </c>
      <c r="X3" s="20" t="s">
        <v>13</v>
      </c>
      <c r="Y3" s="20" t="s">
        <v>14</v>
      </c>
      <c r="Z3" s="75" t="s">
        <v>96</v>
      </c>
    </row>
    <row r="4" spans="1:26">
      <c r="A4" s="87">
        <v>44647</v>
      </c>
      <c r="B4" s="76" t="s">
        <v>18</v>
      </c>
      <c r="C4" s="70" t="s">
        <v>19</v>
      </c>
      <c r="D4" s="70"/>
      <c r="E4" s="77">
        <v>27.428000000000001</v>
      </c>
      <c r="F4" s="78">
        <v>27.32</v>
      </c>
      <c r="G4" s="78">
        <v>27.181999999999999</v>
      </c>
      <c r="H4" s="78">
        <f>AVERAGE(E4:G4)</f>
        <v>27.310000000000002</v>
      </c>
      <c r="I4" s="78">
        <v>0.123</v>
      </c>
      <c r="J4" s="77">
        <v>28.68</v>
      </c>
      <c r="K4" s="78">
        <v>28.77</v>
      </c>
      <c r="L4" s="78">
        <v>28.77</v>
      </c>
      <c r="M4" s="78">
        <f>AVERAGE(J4:L4)</f>
        <v>28.74</v>
      </c>
      <c r="N4" s="78">
        <f>_xlfn.STDEV.S(J4:L4)</f>
        <v>5.1961524227066236E-2</v>
      </c>
      <c r="O4" s="78">
        <f t="shared" ref="O4:O9" si="0">ABS(H4-M4)</f>
        <v>1.4299999999999962</v>
      </c>
      <c r="P4" s="8">
        <v>24.315000000000001</v>
      </c>
      <c r="Q4" s="88">
        <v>24.263999999999999</v>
      </c>
      <c r="R4" s="88">
        <v>24.241</v>
      </c>
      <c r="S4" s="89">
        <v>24.273</v>
      </c>
      <c r="T4" s="89">
        <v>3.7999999999999999E-2</v>
      </c>
      <c r="U4" s="4">
        <v>25.34</v>
      </c>
      <c r="V4" s="89">
        <v>25.29</v>
      </c>
      <c r="W4" s="89">
        <v>25.18</v>
      </c>
      <c r="X4" s="89">
        <f>AVERAGE(U4:W4)</f>
        <v>25.27</v>
      </c>
      <c r="Y4" s="90">
        <f>_xlfn.STDEV.S(U4:W4)</f>
        <v>8.1853527718724492E-2</v>
      </c>
      <c r="Z4" s="82">
        <f>ABS(S4-X4)</f>
        <v>0.99699999999999989</v>
      </c>
    </row>
    <row r="5" spans="1:26">
      <c r="A5" s="91">
        <v>44648</v>
      </c>
      <c r="B5" s="2" t="s">
        <v>22</v>
      </c>
      <c r="C5" t="s">
        <v>19</v>
      </c>
      <c r="E5" s="79">
        <v>29.856000000000002</v>
      </c>
      <c r="F5" s="92">
        <v>29.948</v>
      </c>
      <c r="G5" s="92">
        <v>30.012</v>
      </c>
      <c r="H5" s="92">
        <f t="shared" ref="H5:H9" si="1">AVERAGE(E5:G5)</f>
        <v>29.938666666666666</v>
      </c>
      <c r="I5" s="92">
        <v>7.9000000000000001E-2</v>
      </c>
      <c r="J5" s="79">
        <v>31.56</v>
      </c>
      <c r="K5" s="92">
        <v>31.15</v>
      </c>
      <c r="L5" s="92">
        <v>31.15</v>
      </c>
      <c r="M5" s="92">
        <f t="shared" ref="M5:M9" si="2">AVERAGE(J5:L5)</f>
        <v>31.286666666666662</v>
      </c>
      <c r="N5" s="92">
        <f t="shared" ref="N5:N6" si="3">_xlfn.STDEV.S(J5:L5)</f>
        <v>0.23671361036774666</v>
      </c>
      <c r="O5" s="92">
        <f t="shared" si="0"/>
        <v>1.3479999999999954</v>
      </c>
      <c r="P5" s="9">
        <v>21.818999999999999</v>
      </c>
      <c r="Q5" s="93">
        <v>21.843</v>
      </c>
      <c r="R5" s="93">
        <v>21.759</v>
      </c>
      <c r="S5" s="80">
        <v>21.806999999999999</v>
      </c>
      <c r="T5" s="80">
        <v>4.2999999999999997E-2</v>
      </c>
      <c r="U5" s="5">
        <v>23.13</v>
      </c>
      <c r="V5" s="80">
        <v>22.96</v>
      </c>
      <c r="W5" s="80">
        <v>22.95</v>
      </c>
      <c r="X5" s="80">
        <f t="shared" ref="X5:X6" si="4">AVERAGE(U5:W5)</f>
        <v>23.013333333333335</v>
      </c>
      <c r="Y5" s="81">
        <f t="shared" ref="Y5:Y6" si="5">_xlfn.STDEV.S(U5:W5)</f>
        <v>0.10115993936995621</v>
      </c>
      <c r="Z5" s="82">
        <f t="shared" ref="Z5:Z9" si="6">ABS(S5-X5)</f>
        <v>1.2063333333333368</v>
      </c>
    </row>
    <row r="6" spans="1:26">
      <c r="A6" s="91">
        <v>44649</v>
      </c>
      <c r="B6" s="2" t="s">
        <v>23</v>
      </c>
      <c r="C6" t="s">
        <v>19</v>
      </c>
      <c r="E6" s="79">
        <v>29.936</v>
      </c>
      <c r="F6" s="92">
        <v>29.977</v>
      </c>
      <c r="G6" s="92">
        <v>29.978999999999999</v>
      </c>
      <c r="H6" s="92">
        <f t="shared" si="1"/>
        <v>29.963999999999999</v>
      </c>
      <c r="I6" s="92">
        <v>2.4E-2</v>
      </c>
      <c r="J6" s="79">
        <v>31.16</v>
      </c>
      <c r="K6" s="92">
        <v>31.2</v>
      </c>
      <c r="L6" s="92">
        <v>31.21</v>
      </c>
      <c r="M6" s="92">
        <f t="shared" si="2"/>
        <v>31.189999999999998</v>
      </c>
      <c r="N6" s="92">
        <f t="shared" si="3"/>
        <v>2.6457513110646015E-2</v>
      </c>
      <c r="O6" s="92">
        <f t="shared" si="0"/>
        <v>1.2259999999999991</v>
      </c>
      <c r="P6" s="9">
        <v>21.748000000000001</v>
      </c>
      <c r="Q6" s="93">
        <v>21.789000000000001</v>
      </c>
      <c r="R6" s="93">
        <v>21.768000000000001</v>
      </c>
      <c r="S6" s="80">
        <v>21.768000000000001</v>
      </c>
      <c r="T6" s="80">
        <v>0.02</v>
      </c>
      <c r="U6" s="5">
        <v>22.79</v>
      </c>
      <c r="V6" s="80">
        <v>22.88</v>
      </c>
      <c r="W6" s="80">
        <v>22.85</v>
      </c>
      <c r="X6" s="80">
        <f t="shared" si="4"/>
        <v>22.840000000000003</v>
      </c>
      <c r="Y6" s="81">
        <f t="shared" si="5"/>
        <v>4.5825756949558587E-2</v>
      </c>
      <c r="Z6" s="82">
        <f t="shared" si="6"/>
        <v>1.0720000000000027</v>
      </c>
    </row>
    <row r="7" spans="1:26">
      <c r="A7" s="91">
        <v>44673</v>
      </c>
      <c r="B7" s="2" t="s">
        <v>18</v>
      </c>
      <c r="C7" t="s">
        <v>19</v>
      </c>
      <c r="D7" t="s">
        <v>97</v>
      </c>
      <c r="E7" s="79">
        <v>19.722000000000001</v>
      </c>
      <c r="F7" s="92">
        <v>19.73</v>
      </c>
      <c r="G7" s="92">
        <v>19.695</v>
      </c>
      <c r="H7" s="92">
        <f t="shared" si="1"/>
        <v>19.715666666666667</v>
      </c>
      <c r="I7" s="92">
        <v>1.7999999999999999E-2</v>
      </c>
      <c r="J7" s="79">
        <v>20.9</v>
      </c>
      <c r="K7" s="92">
        <v>20.88</v>
      </c>
      <c r="L7" s="92">
        <v>20.73</v>
      </c>
      <c r="M7" s="92">
        <f t="shared" si="2"/>
        <v>20.83666666666667</v>
      </c>
      <c r="N7" s="92">
        <f t="shared" ref="N7:N9" si="7">_xlfn.STDEV.S(J7:L7)</f>
        <v>9.2915732431774728E-2</v>
      </c>
      <c r="O7" s="92">
        <f t="shared" si="0"/>
        <v>1.1210000000000022</v>
      </c>
      <c r="P7" s="9">
        <v>18.573</v>
      </c>
      <c r="Q7" s="93">
        <v>18.349</v>
      </c>
      <c r="R7" s="93">
        <v>18.295000000000002</v>
      </c>
      <c r="S7" s="80">
        <v>18.405999999999999</v>
      </c>
      <c r="T7" s="80">
        <v>0.14799999999999999</v>
      </c>
      <c r="U7" s="83">
        <v>19.62</v>
      </c>
      <c r="V7" s="84">
        <v>19.7</v>
      </c>
      <c r="W7" s="85" t="s">
        <v>98</v>
      </c>
      <c r="X7" s="84">
        <f t="shared" ref="X7:X9" si="8">AVERAGE(U7:W7)</f>
        <v>19.66</v>
      </c>
      <c r="Y7" s="86">
        <f t="shared" ref="Y7:Y9" si="9">_xlfn.STDEV.S(U7:W7)</f>
        <v>5.6568542494922595E-2</v>
      </c>
      <c r="Z7" s="82">
        <f t="shared" si="6"/>
        <v>1.2540000000000013</v>
      </c>
    </row>
    <row r="8" spans="1:26">
      <c r="A8" s="91">
        <v>44674</v>
      </c>
      <c r="B8" s="2" t="s">
        <v>22</v>
      </c>
      <c r="C8" t="s">
        <v>19</v>
      </c>
      <c r="D8" t="s">
        <v>99</v>
      </c>
      <c r="E8" s="79">
        <v>21.419</v>
      </c>
      <c r="F8" s="92">
        <v>21.378</v>
      </c>
      <c r="G8" s="92">
        <v>21.373000000000001</v>
      </c>
      <c r="H8" s="92">
        <f t="shared" si="1"/>
        <v>21.39</v>
      </c>
      <c r="I8" s="92">
        <v>2.5000000000000001E-2</v>
      </c>
      <c r="J8" s="79">
        <v>22.24</v>
      </c>
      <c r="K8" s="92">
        <v>22.64</v>
      </c>
      <c r="L8" s="92">
        <v>22.56</v>
      </c>
      <c r="M8" s="92">
        <f t="shared" si="2"/>
        <v>22.48</v>
      </c>
      <c r="N8" s="92">
        <f t="shared" si="7"/>
        <v>0.21166010488516809</v>
      </c>
      <c r="O8" s="92">
        <f t="shared" si="0"/>
        <v>1.0899999999999999</v>
      </c>
      <c r="P8" s="9">
        <v>20.067</v>
      </c>
      <c r="Q8" s="93">
        <v>19.783999999999999</v>
      </c>
      <c r="R8" s="93">
        <v>19.734000000000002</v>
      </c>
      <c r="S8" s="80">
        <v>19.861999999999998</v>
      </c>
      <c r="T8" s="80">
        <v>0.18</v>
      </c>
      <c r="U8" s="5">
        <v>20.98</v>
      </c>
      <c r="V8" s="80">
        <v>20.91</v>
      </c>
      <c r="W8" s="85" t="s">
        <v>98</v>
      </c>
      <c r="X8" s="80">
        <f t="shared" si="8"/>
        <v>20.945</v>
      </c>
      <c r="Y8" s="81">
        <f t="shared" si="9"/>
        <v>4.9497474683058526E-2</v>
      </c>
      <c r="Z8" s="82">
        <f t="shared" si="6"/>
        <v>1.083000000000002</v>
      </c>
    </row>
    <row r="9" spans="1:26" ht="15.75" thickBot="1">
      <c r="A9" s="94">
        <v>44675</v>
      </c>
      <c r="B9" s="33" t="s">
        <v>23</v>
      </c>
      <c r="C9" s="34" t="s">
        <v>19</v>
      </c>
      <c r="D9" s="34" t="s">
        <v>100</v>
      </c>
      <c r="E9" s="95">
        <v>23.675000000000001</v>
      </c>
      <c r="F9" s="96">
        <v>23.568999999999999</v>
      </c>
      <c r="G9" s="96">
        <v>23.567</v>
      </c>
      <c r="H9" s="96">
        <f t="shared" si="1"/>
        <v>23.603666666666669</v>
      </c>
      <c r="I9" s="96">
        <v>6.2E-2</v>
      </c>
      <c r="J9" s="95">
        <v>24.99</v>
      </c>
      <c r="K9" s="96">
        <v>24.96</v>
      </c>
      <c r="L9" s="96">
        <v>25.23</v>
      </c>
      <c r="M9" s="96">
        <f t="shared" si="2"/>
        <v>25.060000000000002</v>
      </c>
      <c r="N9" s="96">
        <f t="shared" si="7"/>
        <v>0.14798648586948773</v>
      </c>
      <c r="O9" s="96">
        <f t="shared" si="0"/>
        <v>1.4563333333333333</v>
      </c>
      <c r="P9" s="10">
        <v>22.257999999999999</v>
      </c>
      <c r="Q9" s="97">
        <v>22.151</v>
      </c>
      <c r="R9" s="97">
        <v>22.212</v>
      </c>
      <c r="S9" s="98">
        <v>22.207000000000001</v>
      </c>
      <c r="T9" s="98">
        <v>5.3999999999999999E-2</v>
      </c>
      <c r="U9" s="7">
        <v>23.63</v>
      </c>
      <c r="V9" s="98">
        <v>23.5</v>
      </c>
      <c r="W9" s="99" t="s">
        <v>98</v>
      </c>
      <c r="X9" s="98">
        <f t="shared" si="8"/>
        <v>23.564999999999998</v>
      </c>
      <c r="Y9" s="100">
        <f t="shared" si="9"/>
        <v>9.1923881554250478E-2</v>
      </c>
      <c r="Z9" s="101">
        <f t="shared" si="6"/>
        <v>1.357999999999997</v>
      </c>
    </row>
    <row r="11" spans="1:26">
      <c r="C11" s="229" t="s">
        <v>0</v>
      </c>
      <c r="D11" s="229"/>
      <c r="E11" s="229" t="s">
        <v>1</v>
      </c>
      <c r="F11" s="229"/>
    </row>
    <row r="12" spans="1:26" ht="15.75" thickBot="1">
      <c r="B12" s="16" t="s">
        <v>3</v>
      </c>
      <c r="C12" s="20" t="s">
        <v>101</v>
      </c>
      <c r="D12" t="s">
        <v>102</v>
      </c>
      <c r="E12" t="s">
        <v>103</v>
      </c>
      <c r="F12" t="s">
        <v>104</v>
      </c>
    </row>
    <row r="13" spans="1:26">
      <c r="B13" s="87">
        <v>44647</v>
      </c>
      <c r="C13" s="78">
        <v>27.310000000000002</v>
      </c>
      <c r="D13" s="73">
        <v>28.74</v>
      </c>
      <c r="E13" s="73">
        <v>24.273</v>
      </c>
      <c r="F13" s="73">
        <v>25.27</v>
      </c>
    </row>
    <row r="14" spans="1:26">
      <c r="B14" s="91">
        <v>44648</v>
      </c>
      <c r="C14" s="92">
        <v>29.938666666666666</v>
      </c>
      <c r="D14" s="73">
        <v>31.286666666666662</v>
      </c>
      <c r="E14" s="73">
        <v>21.806999999999999</v>
      </c>
      <c r="F14" s="73">
        <v>23.013333333333335</v>
      </c>
    </row>
    <row r="15" spans="1:26">
      <c r="B15" s="91">
        <v>44649</v>
      </c>
      <c r="C15" s="92">
        <v>29.963999999999999</v>
      </c>
      <c r="D15" s="73">
        <v>31.189999999999998</v>
      </c>
      <c r="E15" s="73">
        <v>21.768000000000001</v>
      </c>
      <c r="F15" s="73">
        <v>22.840000000000003</v>
      </c>
    </row>
    <row r="16" spans="1:26">
      <c r="B16" s="91">
        <v>44673</v>
      </c>
      <c r="C16" s="92">
        <v>19.715666666666667</v>
      </c>
      <c r="D16" s="73">
        <v>20.83666666666667</v>
      </c>
      <c r="E16" s="73">
        <v>18.405999999999999</v>
      </c>
      <c r="F16" s="73">
        <v>19.66</v>
      </c>
    </row>
    <row r="17" spans="1:46">
      <c r="B17" s="91">
        <v>44674</v>
      </c>
      <c r="C17" s="92">
        <v>21.39</v>
      </c>
      <c r="D17" s="73">
        <v>22.48</v>
      </c>
      <c r="E17" s="73">
        <v>19.861999999999998</v>
      </c>
      <c r="F17" s="73">
        <v>20.945</v>
      </c>
    </row>
    <row r="18" spans="1:46" ht="15.75" thickBot="1">
      <c r="B18" s="94">
        <v>44675</v>
      </c>
      <c r="C18" s="96">
        <v>23.603666666666669</v>
      </c>
      <c r="D18" s="73">
        <v>25.060000000000002</v>
      </c>
      <c r="E18" s="73">
        <v>22.207000000000001</v>
      </c>
      <c r="F18" s="73">
        <v>23.564999999999998</v>
      </c>
    </row>
    <row r="28" spans="1:46">
      <c r="A28" s="38" t="s">
        <v>105</v>
      </c>
    </row>
    <row r="29" spans="1:46">
      <c r="A29" s="102"/>
      <c r="B29" s="74"/>
      <c r="C29" s="74"/>
      <c r="D29" s="225" t="s">
        <v>93</v>
      </c>
      <c r="E29" s="226"/>
      <c r="F29" s="226"/>
      <c r="G29" s="226"/>
      <c r="H29" s="226"/>
      <c r="I29" s="226"/>
      <c r="J29" s="226"/>
      <c r="K29" s="226"/>
      <c r="L29" s="226"/>
      <c r="M29" s="226"/>
      <c r="N29" s="226"/>
      <c r="O29" s="226"/>
      <c r="P29" s="226"/>
      <c r="Q29" s="226"/>
      <c r="R29" s="226"/>
      <c r="S29" s="226"/>
      <c r="T29" s="226"/>
      <c r="U29" s="226"/>
      <c r="V29" s="103"/>
      <c r="W29" s="104"/>
      <c r="Y29" s="227" t="s">
        <v>106</v>
      </c>
      <c r="Z29" s="228"/>
      <c r="AA29" s="228"/>
      <c r="AB29" s="228"/>
      <c r="AC29" s="228"/>
      <c r="AD29" s="228"/>
      <c r="AE29" s="228"/>
      <c r="AF29" s="228"/>
      <c r="AG29" s="228"/>
      <c r="AH29" s="228"/>
      <c r="AI29" s="228"/>
      <c r="AJ29" s="228"/>
      <c r="AK29" s="228"/>
      <c r="AL29" s="228"/>
      <c r="AM29" s="228"/>
      <c r="AN29" s="228"/>
      <c r="AO29" s="228"/>
      <c r="AP29" s="228"/>
      <c r="AQ29" s="103"/>
      <c r="AR29" s="103"/>
      <c r="AS29" s="104"/>
    </row>
    <row r="30" spans="1:46">
      <c r="A30" s="72" t="s">
        <v>107</v>
      </c>
      <c r="B30" s="38" t="s">
        <v>108</v>
      </c>
      <c r="C30" s="38" t="s">
        <v>109</v>
      </c>
      <c r="D30" s="105" t="s">
        <v>10</v>
      </c>
      <c r="E30" s="106" t="s">
        <v>11</v>
      </c>
      <c r="F30" s="106" t="s">
        <v>12</v>
      </c>
      <c r="G30" s="106" t="s">
        <v>41</v>
      </c>
      <c r="H30" s="106" t="s">
        <v>42</v>
      </c>
      <c r="I30" s="106" t="s">
        <v>43</v>
      </c>
      <c r="J30" s="106" t="s">
        <v>110</v>
      </c>
      <c r="K30" s="106" t="s">
        <v>111</v>
      </c>
      <c r="L30" s="106" t="s">
        <v>112</v>
      </c>
      <c r="M30" s="106" t="s">
        <v>113</v>
      </c>
      <c r="N30" s="106" t="s">
        <v>114</v>
      </c>
      <c r="O30" s="106" t="s">
        <v>115</v>
      </c>
      <c r="P30" s="106" t="s">
        <v>116</v>
      </c>
      <c r="Q30" s="106" t="s">
        <v>117</v>
      </c>
      <c r="R30" s="106" t="s">
        <v>118</v>
      </c>
      <c r="S30" s="106" t="s">
        <v>119</v>
      </c>
      <c r="T30" s="72" t="s">
        <v>13</v>
      </c>
      <c r="U30" s="38" t="s">
        <v>14</v>
      </c>
      <c r="V30" s="38" t="s">
        <v>120</v>
      </c>
      <c r="W30" s="71" t="s">
        <v>121</v>
      </c>
      <c r="X30" s="38" t="s">
        <v>122</v>
      </c>
      <c r="Y30" s="105" t="s">
        <v>10</v>
      </c>
      <c r="Z30" s="106" t="s">
        <v>11</v>
      </c>
      <c r="AA30" s="106" t="s">
        <v>12</v>
      </c>
      <c r="AB30" s="106" t="s">
        <v>41</v>
      </c>
      <c r="AC30" s="106" t="s">
        <v>42</v>
      </c>
      <c r="AD30" s="106" t="s">
        <v>43</v>
      </c>
      <c r="AE30" s="106" t="s">
        <v>110</v>
      </c>
      <c r="AF30" s="106" t="s">
        <v>111</v>
      </c>
      <c r="AG30" s="106" t="s">
        <v>112</v>
      </c>
      <c r="AH30" s="106" t="s">
        <v>113</v>
      </c>
      <c r="AI30" s="106" t="s">
        <v>114</v>
      </c>
      <c r="AJ30" s="106" t="s">
        <v>115</v>
      </c>
      <c r="AK30" s="106" t="s">
        <v>116</v>
      </c>
      <c r="AL30" s="106" t="s">
        <v>117</v>
      </c>
      <c r="AM30" s="106" t="s">
        <v>118</v>
      </c>
      <c r="AN30" s="106" t="s">
        <v>119</v>
      </c>
      <c r="AO30" s="72" t="s">
        <v>13</v>
      </c>
      <c r="AP30" s="38" t="s">
        <v>14</v>
      </c>
      <c r="AQ30" s="38" t="s">
        <v>123</v>
      </c>
      <c r="AR30" s="38" t="s">
        <v>120</v>
      </c>
      <c r="AS30" s="71" t="s">
        <v>121</v>
      </c>
      <c r="AT30" s="38" t="s">
        <v>122</v>
      </c>
    </row>
    <row r="31" spans="1:46">
      <c r="A31" s="107" t="s">
        <v>124</v>
      </c>
      <c r="B31" s="2">
        <v>1000000</v>
      </c>
      <c r="C31" s="2">
        <v>3000000</v>
      </c>
      <c r="D31" s="105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24">
        <v>16.89</v>
      </c>
      <c r="U31" s="38"/>
      <c r="V31" s="38"/>
      <c r="W31" s="71"/>
      <c r="X31" s="38"/>
      <c r="Y31">
        <v>18.3</v>
      </c>
      <c r="Z31">
        <v>18.440000000000001</v>
      </c>
      <c r="AA31" s="122" t="s">
        <v>98</v>
      </c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73">
        <v>18.37</v>
      </c>
      <c r="AP31" s="38"/>
      <c r="AQ31" s="38"/>
      <c r="AR31" s="38"/>
      <c r="AS31" s="71"/>
      <c r="AT31" s="38"/>
    </row>
    <row r="32" spans="1:46">
      <c r="A32" s="107" t="s">
        <v>124</v>
      </c>
      <c r="B32" s="2">
        <v>10000</v>
      </c>
      <c r="C32" s="2">
        <v>30000</v>
      </c>
      <c r="D32" s="105"/>
      <c r="E32" s="120">
        <v>25.10669</v>
      </c>
      <c r="F32" s="120">
        <v>25.097382</v>
      </c>
      <c r="G32" s="120">
        <v>25.080200000000001</v>
      </c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73">
        <v>25.094757333333334</v>
      </c>
      <c r="U32" s="38"/>
      <c r="V32" s="38"/>
      <c r="W32" s="71"/>
      <c r="X32" s="38"/>
      <c r="Y32">
        <v>25.92</v>
      </c>
      <c r="Z32">
        <v>25.97</v>
      </c>
      <c r="AA32" s="122" t="s">
        <v>98</v>
      </c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73">
        <v>25.945</v>
      </c>
      <c r="AP32" s="38"/>
      <c r="AQ32" s="38"/>
      <c r="AR32" s="38"/>
      <c r="AS32" s="71"/>
      <c r="AT32" s="38"/>
    </row>
    <row r="33" spans="1:46">
      <c r="A33" s="107" t="s">
        <v>124</v>
      </c>
      <c r="B33" s="2">
        <v>100</v>
      </c>
      <c r="C33" s="2">
        <v>300</v>
      </c>
      <c r="D33" s="105"/>
      <c r="E33" s="120">
        <v>31.523716</v>
      </c>
      <c r="F33" s="120">
        <v>31.646287999999998</v>
      </c>
      <c r="G33" s="120">
        <v>31.622085999999999</v>
      </c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73">
        <v>31.597363333333334</v>
      </c>
      <c r="U33" s="38"/>
      <c r="V33" s="38"/>
      <c r="W33" s="71"/>
      <c r="X33" s="38"/>
      <c r="Y33">
        <v>32.14</v>
      </c>
      <c r="Z33">
        <v>32.049999999999997</v>
      </c>
      <c r="AA33" s="122" t="s">
        <v>98</v>
      </c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73">
        <v>32.094999999999999</v>
      </c>
      <c r="AP33" s="38"/>
      <c r="AQ33" s="38"/>
      <c r="AR33" s="38"/>
      <c r="AS33" s="71"/>
      <c r="AT33" s="38"/>
    </row>
    <row r="34" spans="1:46">
      <c r="A34" s="107" t="s">
        <v>124</v>
      </c>
      <c r="B34" s="2">
        <v>1</v>
      </c>
      <c r="C34" s="2">
        <v>3</v>
      </c>
      <c r="D34" s="105"/>
      <c r="E34" s="121">
        <v>37.967995000000002</v>
      </c>
      <c r="F34" s="121">
        <v>38.323853</v>
      </c>
      <c r="G34" s="121">
        <v>37.456020000000002</v>
      </c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19">
        <v>37.915956000000001</v>
      </c>
      <c r="U34" s="38"/>
      <c r="V34" s="38"/>
      <c r="W34" s="71"/>
      <c r="X34" s="38"/>
      <c r="Y34" s="30">
        <v>39.03</v>
      </c>
      <c r="Z34" s="30">
        <v>39.72</v>
      </c>
      <c r="AA34" s="123" t="s">
        <v>98</v>
      </c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19">
        <v>39.375</v>
      </c>
      <c r="AP34" s="38"/>
      <c r="AQ34" s="38"/>
      <c r="AR34" s="38"/>
      <c r="AS34" s="71"/>
      <c r="AT34" s="38"/>
    </row>
    <row r="35" spans="1:46">
      <c r="A35" s="107" t="s">
        <v>125</v>
      </c>
      <c r="B35" s="109">
        <v>2</v>
      </c>
      <c r="C35" s="109">
        <v>6</v>
      </c>
      <c r="D35" s="26">
        <v>36.110599999999998</v>
      </c>
      <c r="E35" s="27">
        <v>38.813549999999999</v>
      </c>
      <c r="F35" s="27">
        <v>36.443874000000001</v>
      </c>
      <c r="G35" s="27">
        <v>37.461044000000001</v>
      </c>
      <c r="H35" s="27">
        <v>36.724086999999997</v>
      </c>
      <c r="I35" s="27">
        <v>37.484256999999999</v>
      </c>
      <c r="J35" s="27">
        <v>36.619810000000001</v>
      </c>
      <c r="K35" s="27">
        <v>36.952530000000003</v>
      </c>
      <c r="L35" s="27">
        <v>36.98395</v>
      </c>
      <c r="M35" s="27">
        <v>38.870296000000003</v>
      </c>
      <c r="N35" s="27">
        <v>37.054139999999997</v>
      </c>
      <c r="O35" s="27">
        <v>39.124122999999997</v>
      </c>
      <c r="P35" s="27">
        <v>36.753959999999999</v>
      </c>
      <c r="Q35" s="27">
        <v>36.999153</v>
      </c>
      <c r="R35" s="27">
        <v>37.068446999999999</v>
      </c>
      <c r="S35" s="27">
        <v>36.332203</v>
      </c>
      <c r="T35" s="107">
        <f>AVERAGE(D35:S35)</f>
        <v>37.237251500000006</v>
      </c>
      <c r="U35" s="27">
        <f>_xlfn.STDEV.P(D35:S35)</f>
        <v>0.89032720627608319</v>
      </c>
      <c r="V35" s="109">
        <v>16</v>
      </c>
      <c r="W35" s="110">
        <v>0</v>
      </c>
      <c r="X35">
        <f>(16/16)*100</f>
        <v>100</v>
      </c>
      <c r="Y35" s="116" t="s">
        <v>126</v>
      </c>
      <c r="Z35" s="108">
        <v>37.840000000000003</v>
      </c>
      <c r="AA35" s="108">
        <v>38.6</v>
      </c>
      <c r="AB35" s="108">
        <v>38.72</v>
      </c>
      <c r="AC35" s="108">
        <v>39.200000000000003</v>
      </c>
      <c r="AD35" s="108">
        <v>38.57</v>
      </c>
      <c r="AE35" s="108" t="s">
        <v>126</v>
      </c>
      <c r="AF35" s="108">
        <v>38.619999999999997</v>
      </c>
      <c r="AG35" s="108" t="s">
        <v>126</v>
      </c>
      <c r="AH35" s="108">
        <v>38.15</v>
      </c>
      <c r="AI35" s="108">
        <v>40.69</v>
      </c>
      <c r="AJ35" s="108">
        <v>38.1</v>
      </c>
      <c r="AK35" s="108">
        <v>39.74</v>
      </c>
      <c r="AL35" s="108">
        <v>40.82</v>
      </c>
      <c r="AM35" s="108">
        <v>39.99</v>
      </c>
      <c r="AN35" s="108">
        <v>39.44</v>
      </c>
      <c r="AO35" s="107">
        <f>AVERAGE(Z35:AN35)</f>
        <v>39.113846153846154</v>
      </c>
      <c r="AP35" s="27">
        <f>_xlfn.STDEV.P(Y35:AN35)</f>
        <v>0.92848543720437049</v>
      </c>
      <c r="AQ35" s="108"/>
      <c r="AR35" s="109" t="s">
        <v>127</v>
      </c>
      <c r="AS35" s="110" t="s">
        <v>128</v>
      </c>
      <c r="AT35">
        <f>(13/16)*100</f>
        <v>81.25</v>
      </c>
    </row>
    <row r="36" spans="1:46">
      <c r="A36" s="107" t="s">
        <v>125</v>
      </c>
      <c r="B36" s="109">
        <v>1</v>
      </c>
      <c r="C36" s="109">
        <v>3</v>
      </c>
      <c r="D36" s="26">
        <v>37.456600000000002</v>
      </c>
      <c r="E36" s="27">
        <v>36.962949999999999</v>
      </c>
      <c r="F36" s="27">
        <v>37.973804000000001</v>
      </c>
      <c r="G36" s="27">
        <v>37.431454000000002</v>
      </c>
      <c r="H36" s="27" t="s">
        <v>126</v>
      </c>
      <c r="I36" s="27">
        <v>38.163147000000002</v>
      </c>
      <c r="J36" s="27">
        <v>37.446162999999999</v>
      </c>
      <c r="K36" s="27">
        <v>38.213225999999999</v>
      </c>
      <c r="L36" s="27" t="s">
        <v>126</v>
      </c>
      <c r="M36" s="27">
        <v>37.358963000000003</v>
      </c>
      <c r="N36" s="27">
        <v>36.970750000000002</v>
      </c>
      <c r="O36" s="27">
        <v>37.373336999999999</v>
      </c>
      <c r="P36" s="27">
        <v>36.411160000000002</v>
      </c>
      <c r="Q36" s="27">
        <v>36.915120000000002</v>
      </c>
      <c r="R36" s="27" t="s">
        <v>126</v>
      </c>
      <c r="S36" s="27">
        <v>37.083137999999998</v>
      </c>
      <c r="T36" s="107">
        <f t="shared" ref="T36:T38" si="10">AVERAGE(D36:S36)</f>
        <v>37.366139384615387</v>
      </c>
      <c r="U36" s="27">
        <f t="shared" ref="U36:U38" si="11">_xlfn.STDEV.P(D36:S36)</f>
        <v>0.50041349857301276</v>
      </c>
      <c r="V36" s="109">
        <v>13</v>
      </c>
      <c r="W36" s="110">
        <v>3</v>
      </c>
      <c r="X36">
        <f>(13/16)*100</f>
        <v>81.25</v>
      </c>
      <c r="Y36" s="116">
        <v>39.67</v>
      </c>
      <c r="Z36" s="108">
        <v>38.770000000000003</v>
      </c>
      <c r="AA36" s="108" t="s">
        <v>126</v>
      </c>
      <c r="AB36" s="108" t="s">
        <v>126</v>
      </c>
      <c r="AC36" s="108">
        <v>38.119999999999997</v>
      </c>
      <c r="AD36" s="108">
        <v>39.340000000000003</v>
      </c>
      <c r="AE36" s="108">
        <v>40.71</v>
      </c>
      <c r="AF36" s="108">
        <v>38.840000000000003</v>
      </c>
      <c r="AG36" s="108">
        <v>39.79</v>
      </c>
      <c r="AH36" s="108">
        <v>40.74</v>
      </c>
      <c r="AI36" s="108" t="s">
        <v>126</v>
      </c>
      <c r="AJ36" s="108" t="s">
        <v>126</v>
      </c>
      <c r="AK36" s="108">
        <v>40.770000000000003</v>
      </c>
      <c r="AL36" s="108">
        <v>40.630000000000003</v>
      </c>
      <c r="AM36" s="108">
        <v>39.76</v>
      </c>
      <c r="AN36" s="108" t="s">
        <v>126</v>
      </c>
      <c r="AO36" s="107">
        <f t="shared" ref="AO36:AO38" si="12">AVERAGE(Y36:AN36)</f>
        <v>39.74</v>
      </c>
      <c r="AP36" s="27">
        <f t="shared" ref="AP36:AP38" si="13">_xlfn.STDEV.P(Y36:AN36)</f>
        <v>0.87057974414127715</v>
      </c>
      <c r="AQ36" s="108"/>
      <c r="AR36" s="109">
        <v>11</v>
      </c>
      <c r="AS36" s="110">
        <v>5</v>
      </c>
      <c r="AT36">
        <f>(11/16)*100</f>
        <v>68.75</v>
      </c>
    </row>
    <row r="37" spans="1:46">
      <c r="A37" s="107" t="s">
        <v>125</v>
      </c>
      <c r="B37" s="27">
        <v>0.5</v>
      </c>
      <c r="C37" s="27">
        <v>1.5</v>
      </c>
      <c r="D37" s="26">
        <v>37.792290000000001</v>
      </c>
      <c r="E37" s="27">
        <v>37.990200000000002</v>
      </c>
      <c r="F37" s="27">
        <v>37.961395000000003</v>
      </c>
      <c r="G37" s="27" t="s">
        <v>126</v>
      </c>
      <c r="H37" s="27" t="s">
        <v>126</v>
      </c>
      <c r="I37" s="27" t="s">
        <v>126</v>
      </c>
      <c r="J37" s="27">
        <v>37.085228000000001</v>
      </c>
      <c r="K37" s="27">
        <v>38.982067000000001</v>
      </c>
      <c r="L37" s="27" t="s">
        <v>126</v>
      </c>
      <c r="M37" s="27" t="s">
        <v>126</v>
      </c>
      <c r="N37" s="27" t="s">
        <v>126</v>
      </c>
      <c r="O37" s="27" t="s">
        <v>126</v>
      </c>
      <c r="P37" s="27" t="s">
        <v>126</v>
      </c>
      <c r="Q37" s="27">
        <v>38.844320000000003</v>
      </c>
      <c r="R37" s="27">
        <v>39.041412000000001</v>
      </c>
      <c r="S37" s="27" t="s">
        <v>126</v>
      </c>
      <c r="T37" s="107">
        <f t="shared" si="10"/>
        <v>38.242415999999999</v>
      </c>
      <c r="U37" s="27">
        <f t="shared" si="11"/>
        <v>0.67950084950540834</v>
      </c>
      <c r="V37" s="109">
        <v>7</v>
      </c>
      <c r="W37" s="110">
        <v>9</v>
      </c>
      <c r="X37">
        <f>(7/16)*100</f>
        <v>43.75</v>
      </c>
      <c r="Y37" s="116" t="s">
        <v>126</v>
      </c>
      <c r="Z37" s="108">
        <v>39.64</v>
      </c>
      <c r="AA37" s="108" t="s">
        <v>126</v>
      </c>
      <c r="AB37" s="108" t="s">
        <v>126</v>
      </c>
      <c r="AC37" s="108" t="s">
        <v>126</v>
      </c>
      <c r="AD37" s="108">
        <v>39.49</v>
      </c>
      <c r="AE37" s="108">
        <v>40.96</v>
      </c>
      <c r="AF37" s="108">
        <v>39.82</v>
      </c>
      <c r="AG37" s="108" t="s">
        <v>126</v>
      </c>
      <c r="AH37" s="108" t="s">
        <v>126</v>
      </c>
      <c r="AI37" s="108" t="s">
        <v>126</v>
      </c>
      <c r="AJ37" s="108" t="s">
        <v>126</v>
      </c>
      <c r="AK37" s="108">
        <v>39.729999999999997</v>
      </c>
      <c r="AL37" s="108" t="s">
        <v>126</v>
      </c>
      <c r="AM37" s="108">
        <v>40.74</v>
      </c>
      <c r="AN37" s="108" t="s">
        <v>126</v>
      </c>
      <c r="AO37" s="107">
        <f t="shared" si="12"/>
        <v>40.063333333333333</v>
      </c>
      <c r="AP37" s="27">
        <f t="shared" si="13"/>
        <v>0.56864361031805866</v>
      </c>
      <c r="AQ37" s="108"/>
      <c r="AR37" s="109">
        <v>6</v>
      </c>
      <c r="AS37" s="110">
        <v>10</v>
      </c>
      <c r="AT37">
        <f>(6/16)*100</f>
        <v>37.5</v>
      </c>
    </row>
    <row r="38" spans="1:46" ht="15.75" thickBot="1">
      <c r="A38" s="111" t="s">
        <v>125</v>
      </c>
      <c r="B38" s="63">
        <v>0.25</v>
      </c>
      <c r="C38" s="63">
        <v>0.75</v>
      </c>
      <c r="D38" s="36">
        <v>37.894955000000003</v>
      </c>
      <c r="E38" s="37" t="s">
        <v>126</v>
      </c>
      <c r="F38" s="37" t="s">
        <v>126</v>
      </c>
      <c r="G38" s="37" t="s">
        <v>126</v>
      </c>
      <c r="H38" s="37">
        <v>39.045960000000001</v>
      </c>
      <c r="I38" s="37" t="s">
        <v>126</v>
      </c>
      <c r="J38" s="37">
        <v>38.606341999999998</v>
      </c>
      <c r="K38" s="37">
        <v>38.226199999999999</v>
      </c>
      <c r="L38" s="37" t="s">
        <v>126</v>
      </c>
      <c r="M38" s="37" t="s">
        <v>126</v>
      </c>
      <c r="N38" s="37">
        <v>38.318984999999998</v>
      </c>
      <c r="O38" s="37" t="s">
        <v>126</v>
      </c>
      <c r="P38" s="37" t="s">
        <v>126</v>
      </c>
      <c r="Q38" s="37">
        <v>37.867600000000003</v>
      </c>
      <c r="R38" s="37" t="s">
        <v>126</v>
      </c>
      <c r="S38" s="37">
        <v>37.974829999999997</v>
      </c>
      <c r="T38" s="112">
        <f t="shared" si="10"/>
        <v>38.276410285714292</v>
      </c>
      <c r="U38" s="37">
        <f t="shared" si="11"/>
        <v>0.39802728394876674</v>
      </c>
      <c r="V38" s="114">
        <v>7</v>
      </c>
      <c r="W38" s="115">
        <v>9</v>
      </c>
      <c r="X38">
        <f>(7/16)*100</f>
        <v>43.75</v>
      </c>
      <c r="Y38" s="117" t="s">
        <v>126</v>
      </c>
      <c r="Z38" s="113" t="s">
        <v>126</v>
      </c>
      <c r="AA38" s="113" t="s">
        <v>126</v>
      </c>
      <c r="AB38" s="113" t="s">
        <v>126</v>
      </c>
      <c r="AC38" s="113">
        <v>38.74</v>
      </c>
      <c r="AD38" s="113" t="s">
        <v>126</v>
      </c>
      <c r="AE38" s="113" t="s">
        <v>126</v>
      </c>
      <c r="AF38" s="113" t="s">
        <v>126</v>
      </c>
      <c r="AG38" s="113" t="s">
        <v>126</v>
      </c>
      <c r="AH38" s="113" t="s">
        <v>126</v>
      </c>
      <c r="AI38" s="113" t="s">
        <v>126</v>
      </c>
      <c r="AJ38" s="113" t="s">
        <v>126</v>
      </c>
      <c r="AK38" s="113" t="s">
        <v>126</v>
      </c>
      <c r="AL38" s="113" t="s">
        <v>126</v>
      </c>
      <c r="AM38" s="113">
        <v>39.869999999999997</v>
      </c>
      <c r="AN38" s="113" t="s">
        <v>126</v>
      </c>
      <c r="AO38" s="112">
        <f t="shared" si="12"/>
        <v>39.305</v>
      </c>
      <c r="AP38" s="37">
        <f t="shared" si="13"/>
        <v>0.56499999999999773</v>
      </c>
      <c r="AQ38" s="113"/>
      <c r="AR38" s="114">
        <v>2</v>
      </c>
      <c r="AS38" s="115">
        <v>14</v>
      </c>
      <c r="AT38">
        <f>(2/16)*100</f>
        <v>12.5</v>
      </c>
    </row>
    <row r="39" spans="1:46"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46"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46"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46">
      <c r="D42" s="118" t="s">
        <v>129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6" spans="1:46">
      <c r="C46" s="106" t="s">
        <v>109</v>
      </c>
      <c r="D46" s="106" t="s">
        <v>130</v>
      </c>
      <c r="E46" s="106" t="s">
        <v>94</v>
      </c>
    </row>
    <row r="47" spans="1:46">
      <c r="C47" s="2">
        <v>3000000</v>
      </c>
      <c r="D47" s="55">
        <v>16.89</v>
      </c>
      <c r="E47" s="55">
        <v>18.37</v>
      </c>
    </row>
    <row r="48" spans="1:46">
      <c r="C48" s="2">
        <v>30000</v>
      </c>
      <c r="D48" s="55">
        <v>25.094757333333334</v>
      </c>
      <c r="E48" s="55">
        <v>25.945</v>
      </c>
    </row>
    <row r="49" spans="1:5">
      <c r="C49" s="2">
        <v>300</v>
      </c>
      <c r="D49" s="55">
        <v>31.597363333333334</v>
      </c>
      <c r="E49" s="55">
        <v>32.094999999999999</v>
      </c>
    </row>
    <row r="50" spans="1:5">
      <c r="C50" s="2">
        <v>3</v>
      </c>
      <c r="D50" s="55">
        <v>37.915956000000001</v>
      </c>
      <c r="E50" s="55">
        <v>39.375</v>
      </c>
    </row>
    <row r="51" spans="1:5">
      <c r="C51" s="109">
        <v>6</v>
      </c>
      <c r="D51" s="27">
        <v>37.237251500000006</v>
      </c>
      <c r="E51" s="27">
        <v>39.113846153846154</v>
      </c>
    </row>
    <row r="52" spans="1:5">
      <c r="C52" s="109">
        <v>3</v>
      </c>
      <c r="D52" s="27">
        <v>37.366139384615387</v>
      </c>
      <c r="E52" s="27">
        <v>39.74</v>
      </c>
    </row>
    <row r="53" spans="1:5">
      <c r="C53" s="27">
        <v>1.5</v>
      </c>
      <c r="D53" s="27">
        <v>38.242415999999999</v>
      </c>
      <c r="E53" s="27">
        <v>40.063333333333333</v>
      </c>
    </row>
    <row r="54" spans="1:5">
      <c r="C54" s="27">
        <v>0.75</v>
      </c>
      <c r="D54" s="27">
        <v>38.276410285714292</v>
      </c>
      <c r="E54" s="27">
        <v>39.305</v>
      </c>
    </row>
    <row r="63" spans="1:5" ht="15.75" thickBot="1"/>
    <row r="64" spans="1:5" ht="15.75" thickBot="1">
      <c r="A64" s="218" t="s">
        <v>94</v>
      </c>
      <c r="B64" s="219"/>
      <c r="C64" s="219"/>
      <c r="D64" s="220"/>
    </row>
    <row r="65" spans="1:5" ht="15.75" thickBot="1">
      <c r="A65" s="221" t="s">
        <v>131</v>
      </c>
      <c r="B65" s="222"/>
      <c r="C65" s="222"/>
      <c r="D65" s="223"/>
    </row>
    <row r="66" spans="1:5" ht="45">
      <c r="A66" s="125" t="s">
        <v>3</v>
      </c>
      <c r="B66" s="126" t="s">
        <v>132</v>
      </c>
      <c r="C66" s="126" t="s">
        <v>133</v>
      </c>
      <c r="D66" s="127" t="s">
        <v>134</v>
      </c>
      <c r="E66" s="128" t="s">
        <v>135</v>
      </c>
    </row>
    <row r="67" spans="1:5">
      <c r="A67" s="129" t="s">
        <v>136</v>
      </c>
      <c r="B67" s="130" t="s">
        <v>137</v>
      </c>
      <c r="C67" s="130">
        <v>35.9</v>
      </c>
      <c r="D67" s="131">
        <v>35.799999999999997</v>
      </c>
      <c r="E67" s="132">
        <v>34.461666666666666</v>
      </c>
    </row>
    <row r="68" spans="1:5">
      <c r="A68" s="129" t="s">
        <v>138</v>
      </c>
      <c r="B68" s="130" t="s">
        <v>137</v>
      </c>
      <c r="C68" s="130">
        <v>32.200000000000003</v>
      </c>
      <c r="D68" s="131">
        <v>32.1</v>
      </c>
      <c r="E68" s="132">
        <v>31.060666666666663</v>
      </c>
    </row>
    <row r="69" spans="1:5">
      <c r="A69" s="129" t="s">
        <v>139</v>
      </c>
      <c r="B69" s="130" t="s">
        <v>137</v>
      </c>
      <c r="C69" s="130">
        <v>28.7</v>
      </c>
      <c r="D69" s="131">
        <v>28.7</v>
      </c>
      <c r="E69" s="132">
        <v>27.78533333333333</v>
      </c>
    </row>
    <row r="70" spans="1:5">
      <c r="A70" s="129" t="s">
        <v>140</v>
      </c>
      <c r="B70" s="130" t="s">
        <v>137</v>
      </c>
      <c r="C70" s="130">
        <v>25.1</v>
      </c>
      <c r="D70" s="131">
        <v>25</v>
      </c>
      <c r="E70" s="132">
        <v>24.24</v>
      </c>
    </row>
    <row r="71" spans="1:5">
      <c r="A71" s="129" t="s">
        <v>141</v>
      </c>
      <c r="B71" s="130" t="s">
        <v>137</v>
      </c>
      <c r="C71" s="130">
        <v>21.7</v>
      </c>
      <c r="D71" s="131">
        <v>21.6</v>
      </c>
      <c r="E71" s="132">
        <v>20.834</v>
      </c>
    </row>
    <row r="72" spans="1:5">
      <c r="A72" s="129" t="s">
        <v>142</v>
      </c>
      <c r="B72" s="130" t="s">
        <v>137</v>
      </c>
      <c r="C72" s="130">
        <v>18.399999999999999</v>
      </c>
      <c r="D72" s="133">
        <v>18.3</v>
      </c>
    </row>
    <row r="73" spans="1:5">
      <c r="A73" s="129" t="s">
        <v>143</v>
      </c>
      <c r="B73" s="130" t="s">
        <v>137</v>
      </c>
      <c r="C73" s="130">
        <v>14.9</v>
      </c>
      <c r="D73" s="133">
        <v>14.9</v>
      </c>
    </row>
    <row r="74" spans="1:5" ht="15.75" thickBot="1">
      <c r="A74" s="134" t="s">
        <v>144</v>
      </c>
      <c r="B74" s="135" t="s">
        <v>137</v>
      </c>
      <c r="C74" s="135">
        <v>11.3</v>
      </c>
      <c r="D74" s="136">
        <v>11.4</v>
      </c>
    </row>
    <row r="77" spans="1:5">
      <c r="A77" t="s">
        <v>145</v>
      </c>
    </row>
  </sheetData>
  <mergeCells count="13">
    <mergeCell ref="A64:D64"/>
    <mergeCell ref="A65:D65"/>
    <mergeCell ref="A1:C1"/>
    <mergeCell ref="D29:U29"/>
    <mergeCell ref="Y29:AP29"/>
    <mergeCell ref="C11:D11"/>
    <mergeCell ref="E11:F11"/>
    <mergeCell ref="E2:I2"/>
    <mergeCell ref="E1:O1"/>
    <mergeCell ref="P2:T2"/>
    <mergeCell ref="P1:Z1"/>
    <mergeCell ref="U2:Z2"/>
    <mergeCell ref="J2:O2"/>
  </mergeCells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C78F-D860-493F-9225-1848FBB8A41C}">
  <dimension ref="A1"/>
  <sheetViews>
    <sheetView tabSelected="1" topLeftCell="AE1" workbookViewId="0">
      <selection sqref="A1:BD1048576"/>
    </sheetView>
  </sheetViews>
  <sheetFormatPr defaultRowHeight="15"/>
  <sheetData/>
  <pageMargins left="0.7" right="0.7" top="0.75" bottom="0.75" header="0.3" footer="0.3"/>
  <pageSetup orientation="portrait"/>
  <headerFooter>
    <oddHeader>&amp;R&amp;"Calibri"&amp;12&amp;K000000 Unclassified - Non-Classifié&amp;1#_x000D_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40AA4-D0BF-428B-8D94-9B44C92537BC}">
  <dimension ref="A1:AG24"/>
  <sheetViews>
    <sheetView workbookViewId="0">
      <selection activeCell="D31" sqref="D31"/>
    </sheetView>
  </sheetViews>
  <sheetFormatPr defaultRowHeight="15"/>
  <cols>
    <col min="1" max="1" width="24.28515625" customWidth="1"/>
    <col min="2" max="2" width="21.5703125" customWidth="1"/>
    <col min="3" max="3" width="16" bestFit="1" customWidth="1"/>
    <col min="4" max="4" width="19.7109375" customWidth="1"/>
    <col min="5" max="5" width="13.42578125" customWidth="1"/>
    <col min="6" max="6" width="52.5703125" customWidth="1"/>
    <col min="7" max="7" width="18" customWidth="1"/>
    <col min="8" max="8" width="19.28515625" bestFit="1" customWidth="1"/>
    <col min="9" max="9" width="18.7109375" customWidth="1"/>
    <col min="10" max="12" width="5.5703125" bestFit="1" customWidth="1"/>
    <col min="14" max="14" width="6.85546875" bestFit="1" customWidth="1"/>
    <col min="15" max="17" width="10.5703125" bestFit="1" customWidth="1"/>
    <col min="23" max="23" width="15.42578125" customWidth="1"/>
    <col min="24" max="24" width="12.140625" customWidth="1"/>
    <col min="25" max="25" width="15.140625" customWidth="1"/>
    <col min="31" max="31" width="16.28515625" customWidth="1"/>
    <col min="32" max="32" width="10.85546875" customWidth="1"/>
    <col min="33" max="33" width="12" customWidth="1"/>
  </cols>
  <sheetData>
    <row r="1" spans="1:33" ht="15.75" thickBot="1">
      <c r="J1" s="224" t="s">
        <v>0</v>
      </c>
      <c r="K1" s="224"/>
      <c r="L1" s="224"/>
      <c r="M1" s="224"/>
      <c r="N1" s="224"/>
      <c r="O1" s="224"/>
      <c r="P1" s="224"/>
      <c r="Q1" s="224"/>
      <c r="R1" s="224" t="s">
        <v>1</v>
      </c>
      <c r="S1" s="224"/>
      <c r="T1" s="224"/>
      <c r="U1" s="224"/>
      <c r="V1" s="224"/>
      <c r="W1" s="224"/>
      <c r="X1" s="224"/>
      <c r="Y1" s="224"/>
      <c r="Z1" s="224" t="s">
        <v>2</v>
      </c>
      <c r="AA1" s="224"/>
      <c r="AB1" s="224"/>
      <c r="AC1" s="224"/>
      <c r="AD1" s="224"/>
      <c r="AE1" s="224"/>
      <c r="AF1" s="224"/>
      <c r="AG1" s="224"/>
    </row>
    <row r="2" spans="1:33" ht="30.75" thickBot="1">
      <c r="A2" s="16" t="s">
        <v>3</v>
      </c>
      <c r="B2" s="1" t="s">
        <v>4</v>
      </c>
      <c r="C2" s="1" t="s">
        <v>5</v>
      </c>
      <c r="D2" s="1" t="s">
        <v>6</v>
      </c>
      <c r="E2" s="17" t="s">
        <v>7</v>
      </c>
      <c r="F2" s="1" t="s">
        <v>8</v>
      </c>
      <c r="G2" s="1" t="s">
        <v>146</v>
      </c>
      <c r="H2" s="1" t="s">
        <v>40</v>
      </c>
      <c r="I2" s="18" t="s">
        <v>9</v>
      </c>
      <c r="J2" s="65" t="s">
        <v>10</v>
      </c>
      <c r="K2" s="66" t="s">
        <v>11</v>
      </c>
      <c r="L2" s="66" t="s">
        <v>12</v>
      </c>
      <c r="M2" s="66" t="s">
        <v>13</v>
      </c>
      <c r="N2" s="66" t="s">
        <v>14</v>
      </c>
      <c r="O2" s="66" t="s">
        <v>15</v>
      </c>
      <c r="P2" s="66" t="s">
        <v>16</v>
      </c>
      <c r="Q2" s="67" t="s">
        <v>17</v>
      </c>
      <c r="R2" s="44" t="s">
        <v>10</v>
      </c>
      <c r="S2" s="45" t="s">
        <v>11</v>
      </c>
      <c r="T2" s="45" t="s">
        <v>12</v>
      </c>
      <c r="U2" s="45" t="s">
        <v>13</v>
      </c>
      <c r="V2" s="45" t="s">
        <v>14</v>
      </c>
      <c r="W2" s="45" t="s">
        <v>15</v>
      </c>
      <c r="X2" s="45" t="s">
        <v>16</v>
      </c>
      <c r="Y2" s="46" t="s">
        <v>17</v>
      </c>
      <c r="Z2" s="44" t="s">
        <v>10</v>
      </c>
      <c r="AA2" s="45" t="s">
        <v>11</v>
      </c>
      <c r="AB2" s="45" t="s">
        <v>12</v>
      </c>
      <c r="AC2" s="45" t="s">
        <v>13</v>
      </c>
      <c r="AD2" s="45" t="s">
        <v>14</v>
      </c>
      <c r="AE2" s="45" t="s">
        <v>15</v>
      </c>
      <c r="AF2" s="45" t="s">
        <v>16</v>
      </c>
      <c r="AG2" s="46" t="s">
        <v>17</v>
      </c>
    </row>
    <row r="3" spans="1:33">
      <c r="A3" s="15">
        <v>44647</v>
      </c>
      <c r="B3" s="2" t="s">
        <v>18</v>
      </c>
      <c r="C3" t="s">
        <v>19</v>
      </c>
      <c r="D3" t="s">
        <v>20</v>
      </c>
      <c r="E3">
        <v>1.6</v>
      </c>
      <c r="G3" t="s">
        <v>147</v>
      </c>
      <c r="H3" t="s">
        <v>148</v>
      </c>
      <c r="I3" s="22">
        <v>25.1</v>
      </c>
      <c r="J3" s="23">
        <v>27.428000000000001</v>
      </c>
      <c r="K3" s="24">
        <v>27.32</v>
      </c>
      <c r="L3" s="24">
        <v>27.181999999999999</v>
      </c>
      <c r="M3" s="24">
        <f>AVERAGE(J3:L3)</f>
        <v>27.310000000000002</v>
      </c>
      <c r="N3" s="24">
        <v>0.123</v>
      </c>
      <c r="O3" s="24">
        <v>3406.59</v>
      </c>
      <c r="P3" s="24">
        <v>3655.3150000000001</v>
      </c>
      <c r="Q3" s="68">
        <v>3997.8670000000002</v>
      </c>
      <c r="R3" s="39">
        <v>24.315000000000001</v>
      </c>
      <c r="S3" s="2">
        <v>24.263999999999999</v>
      </c>
      <c r="T3" s="2">
        <v>24.241</v>
      </c>
      <c r="U3" s="55">
        <v>24.273</v>
      </c>
      <c r="V3" s="55">
        <v>3.7999999999999999E-2</v>
      </c>
      <c r="W3" s="55">
        <v>26489.164000000001</v>
      </c>
      <c r="X3" s="55">
        <v>27388.748</v>
      </c>
      <c r="Y3" s="6">
        <v>27796.918000000001</v>
      </c>
      <c r="Z3" s="47">
        <v>29.712772369384766</v>
      </c>
      <c r="AA3" s="48">
        <v>29.741931915283203</v>
      </c>
      <c r="AB3" s="48">
        <v>29.59686279296875</v>
      </c>
      <c r="AC3" s="48">
        <v>29.683855000000001</v>
      </c>
      <c r="AD3" s="48">
        <v>7.6735869999999998E-2</v>
      </c>
      <c r="AE3" s="48">
        <v>844.43535999999995</v>
      </c>
      <c r="AF3" s="48">
        <v>828.36914000000002</v>
      </c>
      <c r="AG3" s="49">
        <v>911.43975999999998</v>
      </c>
    </row>
    <row r="4" spans="1:33">
      <c r="A4" s="15">
        <v>44648</v>
      </c>
      <c r="B4" s="2" t="s">
        <v>22</v>
      </c>
      <c r="C4" t="s">
        <v>19</v>
      </c>
      <c r="D4" t="s">
        <v>20</v>
      </c>
      <c r="E4">
        <v>1.6</v>
      </c>
      <c r="G4" t="s">
        <v>147</v>
      </c>
      <c r="H4" t="s">
        <v>148</v>
      </c>
      <c r="I4" s="25">
        <v>16.5</v>
      </c>
      <c r="J4" s="26">
        <v>29.856000000000002</v>
      </c>
      <c r="K4" s="27">
        <v>29.948</v>
      </c>
      <c r="L4" s="27">
        <v>30.012</v>
      </c>
      <c r="M4" s="27">
        <f t="shared" ref="M4:M10" si="0">AVERAGE(J4:L4)</f>
        <v>29.938666666666666</v>
      </c>
      <c r="N4" s="27">
        <v>7.9000000000000001E-2</v>
      </c>
      <c r="O4" s="27">
        <v>701.10900000000004</v>
      </c>
      <c r="P4" s="27">
        <v>660.23599999999999</v>
      </c>
      <c r="Q4" s="61">
        <v>633.25099999999998</v>
      </c>
      <c r="R4" s="39">
        <v>21.818999999999999</v>
      </c>
      <c r="S4" s="2">
        <v>21.843</v>
      </c>
      <c r="T4" s="2">
        <v>21.759</v>
      </c>
      <c r="U4" s="55">
        <v>21.806999999999999</v>
      </c>
      <c r="V4" s="55">
        <v>4.2999999999999997E-2</v>
      </c>
      <c r="W4" s="55">
        <v>135540.5</v>
      </c>
      <c r="X4" s="55">
        <v>133438.16</v>
      </c>
      <c r="Y4" s="6">
        <v>140961.4</v>
      </c>
      <c r="Z4" s="47">
        <v>29.803848266601563</v>
      </c>
      <c r="AA4" s="48">
        <v>29.979055404663086</v>
      </c>
      <c r="AB4" s="48">
        <v>29.72300910949707</v>
      </c>
      <c r="AC4" s="48">
        <v>29.835304000000001</v>
      </c>
      <c r="AD4" s="48">
        <v>0.13088939999999999</v>
      </c>
      <c r="AE4" s="48">
        <v>795.26110000000006</v>
      </c>
      <c r="AF4" s="48">
        <v>708.57079999999996</v>
      </c>
      <c r="AG4" s="49">
        <v>838.76</v>
      </c>
    </row>
    <row r="5" spans="1:33">
      <c r="A5" s="15">
        <v>44649</v>
      </c>
      <c r="B5" s="2" t="s">
        <v>23</v>
      </c>
      <c r="C5" t="s">
        <v>19</v>
      </c>
      <c r="D5" t="s">
        <v>20</v>
      </c>
      <c r="E5">
        <v>1.6</v>
      </c>
      <c r="G5" t="s">
        <v>147</v>
      </c>
      <c r="H5" t="s">
        <v>148</v>
      </c>
      <c r="I5" s="25">
        <v>20.100000000000001</v>
      </c>
      <c r="J5" s="26">
        <v>29.936</v>
      </c>
      <c r="K5" s="27">
        <v>29.977</v>
      </c>
      <c r="L5" s="27">
        <v>29.978999999999999</v>
      </c>
      <c r="M5" s="27">
        <f t="shared" si="0"/>
        <v>29.963999999999999</v>
      </c>
      <c r="N5" s="27">
        <v>2.4E-2</v>
      </c>
      <c r="O5" s="27">
        <v>665.46</v>
      </c>
      <c r="P5" s="27">
        <v>648.04700000000003</v>
      </c>
      <c r="Q5" s="61">
        <v>647.22900000000004</v>
      </c>
      <c r="R5" s="39">
        <v>21.748000000000001</v>
      </c>
      <c r="S5" s="2">
        <v>21.789000000000001</v>
      </c>
      <c r="T5" s="2">
        <v>21.768000000000001</v>
      </c>
      <c r="U5" s="55">
        <v>21.768000000000001</v>
      </c>
      <c r="V5" s="55">
        <v>0.02</v>
      </c>
      <c r="W5" s="55">
        <v>141918.19</v>
      </c>
      <c r="X5" s="55">
        <v>138210.94</v>
      </c>
      <c r="Y5" s="6">
        <v>140146.84</v>
      </c>
      <c r="Z5" s="47">
        <v>30.028522491455078</v>
      </c>
      <c r="AA5" s="48">
        <v>29.947378158569336</v>
      </c>
      <c r="AB5" s="48">
        <v>29.875675201416016</v>
      </c>
      <c r="AC5" s="48">
        <v>29.950524999999999</v>
      </c>
      <c r="AD5" s="48">
        <v>7.6472230000000002E-2</v>
      </c>
      <c r="AE5" s="48">
        <v>685.85260000000005</v>
      </c>
      <c r="AF5" s="48">
        <v>723.51260000000002</v>
      </c>
      <c r="AG5" s="49">
        <v>758.50800000000004</v>
      </c>
    </row>
    <row r="6" spans="1:33" s="30" customFormat="1">
      <c r="A6" s="28">
        <v>44650</v>
      </c>
      <c r="B6" s="29" t="s">
        <v>24</v>
      </c>
      <c r="C6" s="30" t="s">
        <v>19</v>
      </c>
      <c r="D6" s="30" t="s">
        <v>20</v>
      </c>
      <c r="E6" s="30">
        <v>1.6</v>
      </c>
      <c r="F6" s="30" t="s">
        <v>25</v>
      </c>
      <c r="G6" s="30" t="s">
        <v>147</v>
      </c>
      <c r="H6" s="30" t="s">
        <v>148</v>
      </c>
      <c r="I6" s="31">
        <v>0.32400000000000001</v>
      </c>
      <c r="J6" s="62">
        <v>31.376000000000001</v>
      </c>
      <c r="K6" s="63">
        <v>31.216999999999999</v>
      </c>
      <c r="L6" s="63">
        <v>31.241</v>
      </c>
      <c r="M6" s="63">
        <f t="shared" si="0"/>
        <v>31.278000000000002</v>
      </c>
      <c r="N6" s="63">
        <v>8.5999999999999993E-2</v>
      </c>
      <c r="O6" s="63">
        <v>260.56</v>
      </c>
      <c r="P6" s="63">
        <v>289</v>
      </c>
      <c r="Q6" s="64">
        <v>284.49099999999999</v>
      </c>
      <c r="R6" s="40">
        <v>27.359000000000002</v>
      </c>
      <c r="S6" s="41">
        <v>27.263000000000002</v>
      </c>
      <c r="T6" s="41">
        <v>27.507999999999999</v>
      </c>
      <c r="U6" s="42">
        <v>27.376999999999999</v>
      </c>
      <c r="V6" s="42">
        <v>0.124</v>
      </c>
      <c r="W6" s="42">
        <v>3617.973</v>
      </c>
      <c r="X6" s="42">
        <v>3852.5349999999999</v>
      </c>
      <c r="Y6" s="56">
        <v>3281.2820000000002</v>
      </c>
      <c r="Z6" s="50">
        <v>30.874397277832031</v>
      </c>
      <c r="AA6" s="43">
        <v>30.609296798706055</v>
      </c>
      <c r="AB6" s="43">
        <v>30.777742385864258</v>
      </c>
      <c r="AC6" s="43">
        <v>30.753813000000001</v>
      </c>
      <c r="AD6" s="43">
        <v>0.13416056000000001</v>
      </c>
      <c r="AE6" s="43">
        <v>392.85050000000001</v>
      </c>
      <c r="AF6" s="43">
        <v>467.81286999999998</v>
      </c>
      <c r="AG6" s="51">
        <v>418.67797999999999</v>
      </c>
    </row>
    <row r="7" spans="1:33">
      <c r="A7" s="15">
        <v>44673</v>
      </c>
      <c r="B7" s="2" t="s">
        <v>18</v>
      </c>
      <c r="C7" t="s">
        <v>19</v>
      </c>
      <c r="D7" t="s">
        <v>20</v>
      </c>
      <c r="E7">
        <v>0.35</v>
      </c>
      <c r="F7" t="s">
        <v>97</v>
      </c>
      <c r="G7" t="s">
        <v>147</v>
      </c>
      <c r="H7" t="s">
        <v>148</v>
      </c>
      <c r="I7" s="25">
        <v>51</v>
      </c>
      <c r="J7" s="26">
        <v>19.722000000000001</v>
      </c>
      <c r="K7" s="27">
        <v>19.73</v>
      </c>
      <c r="L7" s="27">
        <v>19.695</v>
      </c>
      <c r="M7" s="27">
        <f t="shared" si="0"/>
        <v>19.715666666666667</v>
      </c>
      <c r="N7" s="27">
        <v>1.7999999999999999E-2</v>
      </c>
      <c r="O7" s="27">
        <v>514298.94</v>
      </c>
      <c r="P7" s="27">
        <v>511502.25</v>
      </c>
      <c r="Q7" s="61">
        <v>523262.3</v>
      </c>
      <c r="R7" s="39">
        <v>18.573</v>
      </c>
      <c r="S7" s="2">
        <v>18.349</v>
      </c>
      <c r="T7" s="2">
        <v>18.295000000000002</v>
      </c>
      <c r="U7" s="55">
        <v>18.405999999999999</v>
      </c>
      <c r="V7" s="55">
        <v>0.14799999999999999</v>
      </c>
      <c r="W7" s="55">
        <v>1131846.1000000001</v>
      </c>
      <c r="X7" s="55">
        <v>1311148</v>
      </c>
      <c r="Y7" s="6">
        <v>1357988.9</v>
      </c>
      <c r="Z7" s="47">
        <v>19.74366569519043</v>
      </c>
      <c r="AA7" s="48">
        <v>19.774206161499023</v>
      </c>
      <c r="AB7" s="48">
        <v>19.821477890014648</v>
      </c>
      <c r="AC7" s="48">
        <v>19.779782999999998</v>
      </c>
      <c r="AD7" s="48">
        <v>3.9204749999999997E-2</v>
      </c>
      <c r="AE7" s="48">
        <v>600776.1</v>
      </c>
      <c r="AF7" s="48">
        <v>588809.9</v>
      </c>
      <c r="AG7" s="49">
        <v>570756.25</v>
      </c>
    </row>
    <row r="8" spans="1:33">
      <c r="A8" s="15">
        <v>44674</v>
      </c>
      <c r="B8" s="2" t="s">
        <v>22</v>
      </c>
      <c r="C8" t="s">
        <v>19</v>
      </c>
      <c r="D8" t="s">
        <v>20</v>
      </c>
      <c r="E8">
        <v>0.5</v>
      </c>
      <c r="F8" t="s">
        <v>99</v>
      </c>
      <c r="G8" t="s">
        <v>147</v>
      </c>
      <c r="H8" t="s">
        <v>148</v>
      </c>
      <c r="I8" s="25">
        <v>24.4</v>
      </c>
      <c r="J8" s="26">
        <v>21.419</v>
      </c>
      <c r="K8" s="27">
        <v>21.378</v>
      </c>
      <c r="L8" s="27">
        <v>21.373000000000001</v>
      </c>
      <c r="M8" s="27">
        <f t="shared" si="0"/>
        <v>21.39</v>
      </c>
      <c r="N8" s="27">
        <v>2.5000000000000001E-2</v>
      </c>
      <c r="O8" s="27">
        <v>170353.83</v>
      </c>
      <c r="P8" s="27">
        <v>174938.5</v>
      </c>
      <c r="Q8" s="61">
        <v>175482.66</v>
      </c>
      <c r="R8" s="39">
        <v>20.067</v>
      </c>
      <c r="S8" s="2">
        <v>19.783999999999999</v>
      </c>
      <c r="T8" s="2">
        <v>19.734000000000002</v>
      </c>
      <c r="U8" s="55">
        <v>19.861999999999998</v>
      </c>
      <c r="V8" s="55">
        <v>0.18</v>
      </c>
      <c r="W8" s="55">
        <v>426029.53</v>
      </c>
      <c r="X8" s="55">
        <v>512907.9</v>
      </c>
      <c r="Y8" s="6">
        <v>529994.5</v>
      </c>
      <c r="Z8" s="47">
        <v>21.453262329101563</v>
      </c>
      <c r="AA8" s="48">
        <v>21.791406631469727</v>
      </c>
      <c r="AB8" s="48">
        <v>21.827512741088867</v>
      </c>
      <c r="AC8" s="48">
        <v>21.690726999999999</v>
      </c>
      <c r="AD8" s="48">
        <v>0.2064415</v>
      </c>
      <c r="AE8" s="48">
        <v>194804.8</v>
      </c>
      <c r="AF8" s="48">
        <v>155903.94</v>
      </c>
      <c r="AG8" s="49">
        <v>152239.44</v>
      </c>
    </row>
    <row r="9" spans="1:33">
      <c r="A9" s="15">
        <v>44675</v>
      </c>
      <c r="B9" s="2" t="s">
        <v>23</v>
      </c>
      <c r="C9" t="s">
        <v>19</v>
      </c>
      <c r="D9" t="s">
        <v>20</v>
      </c>
      <c r="E9">
        <v>0.5</v>
      </c>
      <c r="F9" t="s">
        <v>100</v>
      </c>
      <c r="G9" t="s">
        <v>147</v>
      </c>
      <c r="H9" t="s">
        <v>148</v>
      </c>
      <c r="I9" s="25">
        <v>10.8</v>
      </c>
      <c r="J9" s="26">
        <v>23.675000000000001</v>
      </c>
      <c r="K9" s="27">
        <v>23.568999999999999</v>
      </c>
      <c r="L9" s="27">
        <v>23.567</v>
      </c>
      <c r="M9" s="27">
        <f t="shared" si="0"/>
        <v>23.603666666666669</v>
      </c>
      <c r="N9" s="27">
        <v>6.2E-2</v>
      </c>
      <c r="O9" s="27">
        <v>39217.78</v>
      </c>
      <c r="P9" s="27">
        <v>42028.843999999997</v>
      </c>
      <c r="Q9" s="61">
        <v>42075.112999999998</v>
      </c>
      <c r="R9" s="39">
        <v>22.257999999999999</v>
      </c>
      <c r="S9" s="2">
        <v>22.151</v>
      </c>
      <c r="T9" s="2">
        <v>22.212</v>
      </c>
      <c r="U9" s="55">
        <v>22.207000000000001</v>
      </c>
      <c r="V9" s="55">
        <v>5.3999999999999999E-2</v>
      </c>
      <c r="W9" s="55">
        <v>101671.74</v>
      </c>
      <c r="X9" s="55">
        <v>109044.47</v>
      </c>
      <c r="Y9" s="6">
        <v>104827.44500000001</v>
      </c>
      <c r="Z9" s="47">
        <v>24.013759613037109</v>
      </c>
      <c r="AA9" s="48">
        <v>23.932750701904297</v>
      </c>
      <c r="AB9" s="48">
        <v>23.95643424987793</v>
      </c>
      <c r="AC9" s="48">
        <v>23.967645999999998</v>
      </c>
      <c r="AD9" s="48">
        <v>4.1652434000000002E-2</v>
      </c>
      <c r="AE9" s="48">
        <v>36061.625</v>
      </c>
      <c r="AF9" s="48">
        <v>38038.362999999998</v>
      </c>
      <c r="AG9" s="49">
        <v>37449.495999999999</v>
      </c>
    </row>
    <row r="10" spans="1:33" ht="15.75" thickBot="1">
      <c r="A10" s="32">
        <v>44676</v>
      </c>
      <c r="B10" s="33" t="s">
        <v>24</v>
      </c>
      <c r="C10" s="34" t="s">
        <v>19</v>
      </c>
      <c r="D10" s="34" t="s">
        <v>20</v>
      </c>
      <c r="E10" s="34">
        <v>0.5</v>
      </c>
      <c r="F10" s="34" t="s">
        <v>149</v>
      </c>
      <c r="G10" s="34" t="s">
        <v>147</v>
      </c>
      <c r="H10" s="34" t="s">
        <v>148</v>
      </c>
      <c r="I10" s="35">
        <v>11.2</v>
      </c>
      <c r="J10" s="36">
        <v>30.388999999999999</v>
      </c>
      <c r="K10" s="37">
        <v>30.398</v>
      </c>
      <c r="L10" s="37">
        <v>30.280999999999999</v>
      </c>
      <c r="M10" s="37">
        <f t="shared" si="0"/>
        <v>30.355999999999998</v>
      </c>
      <c r="N10" s="37">
        <v>6.5000000000000002E-2</v>
      </c>
      <c r="O10" s="37">
        <v>495.42</v>
      </c>
      <c r="P10" s="37">
        <v>492.762</v>
      </c>
      <c r="Q10" s="69">
        <v>531.55999999999995</v>
      </c>
      <c r="R10" s="57">
        <v>27.401</v>
      </c>
      <c r="S10" s="58">
        <v>27.344000000000001</v>
      </c>
      <c r="T10" s="58">
        <v>27.32</v>
      </c>
      <c r="U10" s="59">
        <v>27.355</v>
      </c>
      <c r="V10" s="59">
        <v>4.2000000000000003E-2</v>
      </c>
      <c r="W10" s="59">
        <v>3519.8119999999999</v>
      </c>
      <c r="X10" s="59">
        <v>3652.654</v>
      </c>
      <c r="Y10" s="60">
        <v>3711.0630000000001</v>
      </c>
      <c r="Z10" s="52">
        <v>31.414546966552734</v>
      </c>
      <c r="AA10" s="53">
        <v>31.577264785766602</v>
      </c>
      <c r="AB10" s="53">
        <v>31.664028167724609</v>
      </c>
      <c r="AC10" s="53">
        <v>31.551946999999998</v>
      </c>
      <c r="AD10" s="53">
        <v>0.12665297</v>
      </c>
      <c r="AE10" s="53">
        <v>275.22717</v>
      </c>
      <c r="AF10" s="53">
        <v>247.25095999999999</v>
      </c>
      <c r="AG10" s="54">
        <v>233.51517999999999</v>
      </c>
    </row>
    <row r="17" spans="1:5">
      <c r="C17" s="11" t="s">
        <v>92</v>
      </c>
      <c r="D17" s="11" t="s">
        <v>150</v>
      </c>
      <c r="E17" s="11" t="s">
        <v>2</v>
      </c>
    </row>
    <row r="18" spans="1:5" ht="15.75" thickBot="1">
      <c r="C18" s="3" t="s">
        <v>151</v>
      </c>
      <c r="D18" s="3" t="s">
        <v>151</v>
      </c>
      <c r="E18" s="3" t="s">
        <v>151</v>
      </c>
    </row>
    <row r="19" spans="1:5">
      <c r="A19" s="238" t="s">
        <v>152</v>
      </c>
      <c r="B19" s="8">
        <v>44647</v>
      </c>
      <c r="C19" s="4">
        <v>27.31</v>
      </c>
      <c r="D19" s="4">
        <v>24.273</v>
      </c>
      <c r="E19" s="12">
        <v>29.683855000000001</v>
      </c>
    </row>
    <row r="20" spans="1:5">
      <c r="A20" s="239"/>
      <c r="B20" s="9">
        <v>44648</v>
      </c>
      <c r="C20" s="5">
        <v>29.939</v>
      </c>
      <c r="D20" s="5">
        <v>21.806999999999999</v>
      </c>
      <c r="E20" s="13">
        <v>29.835304000000001</v>
      </c>
    </row>
    <row r="21" spans="1:5" ht="15.75" thickBot="1">
      <c r="A21" s="240"/>
      <c r="B21" s="10">
        <v>44649</v>
      </c>
      <c r="C21" s="7">
        <v>29.963999999999999</v>
      </c>
      <c r="D21" s="7">
        <v>21.768000000000001</v>
      </c>
      <c r="E21" s="14">
        <v>29.950524999999999</v>
      </c>
    </row>
    <row r="22" spans="1:5">
      <c r="A22" s="236" t="s">
        <v>153</v>
      </c>
      <c r="B22" s="9" t="s">
        <v>154</v>
      </c>
      <c r="C22" s="5">
        <v>19.716000000000001</v>
      </c>
      <c r="D22" s="5">
        <v>18.405999999999999</v>
      </c>
      <c r="E22" s="13">
        <v>19.779782999999998</v>
      </c>
    </row>
    <row r="23" spans="1:5">
      <c r="A23" s="236"/>
      <c r="B23" s="9" t="s">
        <v>155</v>
      </c>
      <c r="C23" s="5">
        <v>21.39</v>
      </c>
      <c r="D23" s="5">
        <v>19.861999999999998</v>
      </c>
      <c r="E23" s="13">
        <v>21.690726999999999</v>
      </c>
    </row>
    <row r="24" spans="1:5" ht="15.75" thickBot="1">
      <c r="A24" s="237"/>
      <c r="B24" s="10" t="s">
        <v>156</v>
      </c>
      <c r="C24" s="7">
        <v>23.603000000000002</v>
      </c>
      <c r="D24" s="7">
        <v>22.207000000000001</v>
      </c>
      <c r="E24" s="14">
        <v>23.967645999999998</v>
      </c>
    </row>
  </sheetData>
  <mergeCells count="5">
    <mergeCell ref="J1:Q1"/>
    <mergeCell ref="R1:Y1"/>
    <mergeCell ref="Z1:AG1"/>
    <mergeCell ref="A22:A24"/>
    <mergeCell ref="A19:A21"/>
  </mergeCells>
  <pageMargins left="0.7" right="0.7" top="0.75" bottom="0.75" header="0.3" footer="0.3"/>
  <pageSetup orientation="portrait" r:id="rId1"/>
  <headerFooter>
    <oddHeader>&amp;R&amp;"Calibri"&amp;12&amp;K000000 Unclassified - Non-Classifié&amp;1#_x000D_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C92D0-0128-4C75-9327-DA9CCC852FA8}">
  <dimension ref="A1:U38"/>
  <sheetViews>
    <sheetView workbookViewId="0">
      <selection activeCell="I25" sqref="I25"/>
    </sheetView>
  </sheetViews>
  <sheetFormatPr defaultRowHeight="15"/>
  <cols>
    <col min="1" max="1" width="12.7109375" bestFit="1" customWidth="1"/>
    <col min="2" max="2" width="13.42578125" customWidth="1"/>
    <col min="4" max="4" width="8.7109375" bestFit="1" customWidth="1"/>
    <col min="5" max="5" width="24.7109375" customWidth="1"/>
    <col min="6" max="6" width="37.7109375" customWidth="1"/>
    <col min="7" max="9" width="11.28515625" bestFit="1" customWidth="1"/>
    <col min="10" max="10" width="9.28515625" bestFit="1" customWidth="1"/>
    <col min="11" max="11" width="13.42578125" bestFit="1" customWidth="1"/>
  </cols>
  <sheetData>
    <row r="1" spans="1:21" ht="45.75" thickBot="1">
      <c r="A1" s="38"/>
      <c r="B1" s="170" t="s">
        <v>157</v>
      </c>
      <c r="C1" s="164" t="s">
        <v>158</v>
      </c>
      <c r="D1" s="164" t="s">
        <v>10</v>
      </c>
      <c r="E1" s="164" t="s">
        <v>11</v>
      </c>
      <c r="F1" s="164" t="s">
        <v>12</v>
      </c>
      <c r="G1" s="164" t="s">
        <v>41</v>
      </c>
      <c r="H1" s="164" t="s">
        <v>42</v>
      </c>
      <c r="I1" s="164" t="s">
        <v>43</v>
      </c>
      <c r="J1" s="164" t="s">
        <v>13</v>
      </c>
    </row>
    <row r="2" spans="1:21" ht="15.75" thickBot="1">
      <c r="A2" s="242" t="s">
        <v>0</v>
      </c>
      <c r="B2" s="245">
        <v>44647</v>
      </c>
      <c r="C2" s="76">
        <v>0</v>
      </c>
      <c r="D2" s="23">
        <v>25.524028999999999</v>
      </c>
      <c r="E2" s="24">
        <v>25.591487000000001</v>
      </c>
      <c r="F2" s="24">
        <v>25.679148000000001</v>
      </c>
      <c r="G2" s="70"/>
      <c r="H2" s="70"/>
      <c r="I2" s="70"/>
      <c r="J2" s="171">
        <v>25.6</v>
      </c>
      <c r="M2" s="180">
        <v>44647</v>
      </c>
      <c r="N2" s="177">
        <v>44655</v>
      </c>
      <c r="O2" s="177">
        <v>44673</v>
      </c>
      <c r="P2" s="177">
        <v>44675</v>
      </c>
      <c r="Q2" s="70" t="s">
        <v>159</v>
      </c>
      <c r="R2" t="s">
        <v>160</v>
      </c>
      <c r="S2" t="s">
        <v>161</v>
      </c>
      <c r="T2" t="s">
        <v>162</v>
      </c>
      <c r="U2" t="s">
        <v>163</v>
      </c>
    </row>
    <row r="3" spans="1:21">
      <c r="A3" s="236"/>
      <c r="B3" s="243"/>
      <c r="C3" s="2">
        <v>3</v>
      </c>
      <c r="D3" s="27">
        <v>25.326217</v>
      </c>
      <c r="E3" s="27">
        <v>25.569580999999999</v>
      </c>
      <c r="J3" s="6">
        <v>25.45</v>
      </c>
      <c r="L3" s="76" t="s">
        <v>164</v>
      </c>
      <c r="M3" s="171">
        <v>25.6</v>
      </c>
      <c r="N3" s="6">
        <v>31.48</v>
      </c>
      <c r="O3" s="61">
        <v>17.879417</v>
      </c>
      <c r="P3" s="6">
        <v>22.45</v>
      </c>
      <c r="Q3" s="171">
        <v>37.339698791503906</v>
      </c>
      <c r="R3" s="6">
        <v>37.027652740478516</v>
      </c>
      <c r="S3" s="6">
        <v>36.451797485351563</v>
      </c>
      <c r="T3" s="6">
        <v>35.792873382568359</v>
      </c>
      <c r="U3" s="6">
        <v>36.795833587646484</v>
      </c>
    </row>
    <row r="4" spans="1:21" ht="15.75" thickBot="1">
      <c r="A4" s="236"/>
      <c r="B4" s="243">
        <v>44655</v>
      </c>
      <c r="C4" s="2">
        <v>0</v>
      </c>
      <c r="D4" s="27">
        <v>31.601210999999999</v>
      </c>
      <c r="E4" s="27">
        <v>31.317150999999999</v>
      </c>
      <c r="F4" s="27">
        <v>31.525687000000001</v>
      </c>
      <c r="J4" s="6">
        <v>31.48</v>
      </c>
      <c r="L4" s="2" t="s">
        <v>165</v>
      </c>
      <c r="M4" s="6">
        <v>25.45</v>
      </c>
      <c r="N4" s="6">
        <v>31.42</v>
      </c>
      <c r="O4" s="6">
        <v>17.415357499999999</v>
      </c>
      <c r="P4" s="172">
        <v>21.6</v>
      </c>
      <c r="Q4" s="6">
        <v>37.731658935546875</v>
      </c>
      <c r="R4" s="6">
        <v>37.587776184082031</v>
      </c>
      <c r="S4" s="6">
        <v>35.978355407714844</v>
      </c>
      <c r="T4" s="6">
        <v>36.041580200195313</v>
      </c>
      <c r="U4" s="172">
        <v>36.605941772460938</v>
      </c>
    </row>
    <row r="5" spans="1:21">
      <c r="A5" s="236"/>
      <c r="B5" s="243"/>
      <c r="C5" s="2">
        <v>3</v>
      </c>
      <c r="D5" s="27">
        <v>31.216840000000001</v>
      </c>
      <c r="E5" s="27">
        <v>31.627372000000001</v>
      </c>
      <c r="F5" s="27"/>
      <c r="J5" s="6">
        <v>31.42</v>
      </c>
    </row>
    <row r="6" spans="1:21">
      <c r="A6" s="236"/>
      <c r="B6" s="243">
        <v>44673</v>
      </c>
      <c r="C6" s="2">
        <v>0</v>
      </c>
      <c r="D6" s="27">
        <v>17.440749</v>
      </c>
      <c r="E6" s="27">
        <v>17.67332</v>
      </c>
      <c r="F6" s="27">
        <v>18.524182</v>
      </c>
      <c r="J6" s="61">
        <v>17.879417</v>
      </c>
    </row>
    <row r="7" spans="1:21">
      <c r="A7" s="236"/>
      <c r="B7" s="243"/>
      <c r="C7" s="2">
        <v>3</v>
      </c>
      <c r="D7" s="27">
        <v>17.36515</v>
      </c>
      <c r="E7" s="27">
        <v>17.465565000000002</v>
      </c>
      <c r="F7" s="27"/>
      <c r="J7" s="6">
        <v>17.415357499999999</v>
      </c>
    </row>
    <row r="8" spans="1:21">
      <c r="A8" s="236"/>
      <c r="B8" s="243">
        <v>44675</v>
      </c>
      <c r="C8" s="2">
        <v>0</v>
      </c>
      <c r="D8" s="27">
        <v>22.438642999999999</v>
      </c>
      <c r="E8" s="27">
        <v>22.343857</v>
      </c>
      <c r="F8" s="27">
        <v>22.554144000000001</v>
      </c>
      <c r="J8" s="6">
        <v>22.45</v>
      </c>
    </row>
    <row r="9" spans="1:21" ht="15.75" thickBot="1">
      <c r="A9" s="237"/>
      <c r="B9" s="244"/>
      <c r="C9" s="33">
        <v>3</v>
      </c>
      <c r="D9" s="37">
        <v>21.407648999999999</v>
      </c>
      <c r="E9" s="37">
        <v>21.783728</v>
      </c>
      <c r="F9" s="34"/>
      <c r="G9" s="34"/>
      <c r="H9" s="34"/>
      <c r="I9" s="34"/>
      <c r="J9" s="172">
        <v>21.6</v>
      </c>
    </row>
    <row r="10" spans="1:21">
      <c r="A10" s="242" t="s">
        <v>166</v>
      </c>
      <c r="B10" s="216" t="s">
        <v>159</v>
      </c>
      <c r="C10" s="76">
        <v>0</v>
      </c>
      <c r="D10" s="178" t="s">
        <v>29</v>
      </c>
      <c r="E10" s="178">
        <v>36.801037000000001</v>
      </c>
      <c r="F10" s="178">
        <v>37.942191999999999</v>
      </c>
      <c r="G10" s="178">
        <v>37.558259999999997</v>
      </c>
      <c r="H10" s="178">
        <v>36.458075999999998</v>
      </c>
      <c r="I10" s="178">
        <v>37.938927</v>
      </c>
      <c r="J10" s="171">
        <v>37.339698791503906</v>
      </c>
    </row>
    <row r="11" spans="1:21">
      <c r="A11" s="236"/>
      <c r="B11" s="229"/>
      <c r="C11" s="2">
        <v>3</v>
      </c>
      <c r="D11" s="176">
        <v>38.064624999999999</v>
      </c>
      <c r="E11" s="176">
        <v>38.875526000000001</v>
      </c>
      <c r="F11" s="176">
        <v>37.041676000000002</v>
      </c>
      <c r="G11" s="176">
        <v>36.944813000000003</v>
      </c>
      <c r="H11" s="55"/>
      <c r="I11" s="55"/>
      <c r="J11" s="6">
        <v>37.731658935546875</v>
      </c>
      <c r="K11" s="55"/>
    </row>
    <row r="12" spans="1:21">
      <c r="A12" s="236"/>
      <c r="B12" s="229" t="s">
        <v>160</v>
      </c>
      <c r="C12" s="2">
        <v>0</v>
      </c>
      <c r="D12" s="55" t="s">
        <v>29</v>
      </c>
      <c r="E12" s="55">
        <v>36.631622</v>
      </c>
      <c r="F12" s="55" t="s">
        <v>29</v>
      </c>
      <c r="G12" s="55" t="s">
        <v>29</v>
      </c>
      <c r="H12" s="55">
        <v>37.40784</v>
      </c>
      <c r="I12" s="55">
        <v>37.043500000000002</v>
      </c>
      <c r="J12" s="6">
        <v>37.027652740478516</v>
      </c>
    </row>
    <row r="13" spans="1:21">
      <c r="A13" s="236"/>
      <c r="B13" s="229"/>
      <c r="C13" s="2">
        <v>3</v>
      </c>
      <c r="D13" s="176">
        <v>39.251761999999999</v>
      </c>
      <c r="E13" s="176">
        <v>36.649104999999999</v>
      </c>
      <c r="F13" s="176">
        <v>37.998069999999998</v>
      </c>
      <c r="G13" s="176">
        <v>36.452151999999998</v>
      </c>
      <c r="H13" s="55"/>
      <c r="I13" s="55"/>
      <c r="J13" s="6">
        <v>37.587776184082031</v>
      </c>
    </row>
    <row r="14" spans="1:21">
      <c r="A14" s="236"/>
      <c r="B14" s="229" t="s">
        <v>161</v>
      </c>
      <c r="C14" s="2">
        <v>0</v>
      </c>
      <c r="D14" s="55">
        <v>36.050939999999997</v>
      </c>
      <c r="E14" s="55">
        <v>36.985714000000002</v>
      </c>
      <c r="F14" s="55">
        <v>36.141303999999998</v>
      </c>
      <c r="G14" s="55">
        <v>35.837111999999998</v>
      </c>
      <c r="H14" s="55">
        <v>36.653370000000002</v>
      </c>
      <c r="I14" s="55">
        <v>37.042355000000001</v>
      </c>
      <c r="J14" s="6">
        <v>36.451797485351563</v>
      </c>
    </row>
    <row r="15" spans="1:21">
      <c r="A15" s="236"/>
      <c r="B15" s="229"/>
      <c r="C15" s="2">
        <v>3</v>
      </c>
      <c r="D15" s="176">
        <v>36.169939999999997</v>
      </c>
      <c r="E15" s="176">
        <v>35.753050000000002</v>
      </c>
      <c r="F15" s="176">
        <v>36.249070000000003</v>
      </c>
      <c r="G15" s="176">
        <v>35.741356000000003</v>
      </c>
      <c r="H15" s="55"/>
      <c r="I15" s="55"/>
      <c r="J15" s="6">
        <v>35.978355407714844</v>
      </c>
    </row>
    <row r="16" spans="1:21">
      <c r="A16" s="236"/>
      <c r="B16" s="229" t="s">
        <v>162</v>
      </c>
      <c r="C16" s="2">
        <v>0</v>
      </c>
      <c r="D16" s="55">
        <v>35.320152</v>
      </c>
      <c r="E16" s="55">
        <v>34.867683</v>
      </c>
      <c r="F16" s="55">
        <v>37.913060000000002</v>
      </c>
      <c r="G16" s="55">
        <v>35.927010000000003</v>
      </c>
      <c r="H16" s="55">
        <v>35.536990000000003</v>
      </c>
      <c r="I16" s="55">
        <v>35.192337000000002</v>
      </c>
      <c r="J16" s="6">
        <v>35.792873382568359</v>
      </c>
    </row>
    <row r="17" spans="1:12">
      <c r="A17" s="236"/>
      <c r="B17" s="229"/>
      <c r="C17" s="2">
        <v>3</v>
      </c>
      <c r="D17" s="176">
        <v>36.382930000000002</v>
      </c>
      <c r="E17" s="176">
        <v>35.380436000000003</v>
      </c>
      <c r="F17" s="176">
        <v>36.009982999999998</v>
      </c>
      <c r="G17" s="176">
        <v>36.392975</v>
      </c>
      <c r="H17" s="176"/>
      <c r="I17" s="55"/>
      <c r="J17" s="6">
        <v>36.041580200195313</v>
      </c>
    </row>
    <row r="18" spans="1:12">
      <c r="A18" s="236"/>
      <c r="B18" s="229" t="s">
        <v>163</v>
      </c>
      <c r="C18" s="2">
        <v>0</v>
      </c>
      <c r="D18" s="55">
        <v>36.264557000000003</v>
      </c>
      <c r="E18" s="55">
        <v>36.429831999999998</v>
      </c>
      <c r="F18" s="55">
        <v>36.585560000000001</v>
      </c>
      <c r="G18" s="55">
        <v>35.468437000000002</v>
      </c>
      <c r="H18" s="55">
        <v>37.002090000000003</v>
      </c>
      <c r="I18" s="55">
        <v>39.024506000000002</v>
      </c>
      <c r="J18" s="6">
        <v>36.795833587646484</v>
      </c>
    </row>
    <row r="19" spans="1:12" ht="15.75" thickBot="1">
      <c r="A19" s="237"/>
      <c r="B19" s="241"/>
      <c r="C19" s="33">
        <v>3</v>
      </c>
      <c r="D19" s="179">
        <v>36.392257999999998</v>
      </c>
      <c r="E19" s="179">
        <v>36.154246999999998</v>
      </c>
      <c r="F19" s="179">
        <v>38.060659999999999</v>
      </c>
      <c r="G19" s="179">
        <v>35.816592999999997</v>
      </c>
      <c r="H19" s="139"/>
      <c r="I19" s="139"/>
      <c r="J19" s="172">
        <v>36.605941772460938</v>
      </c>
    </row>
    <row r="20" spans="1:12">
      <c r="L20" s="76"/>
    </row>
    <row r="21" spans="1:12">
      <c r="L21" s="2"/>
    </row>
    <row r="24" spans="1:12">
      <c r="I24">
        <f>16*3</f>
        <v>48</v>
      </c>
    </row>
    <row r="29" spans="1:12" ht="30.75" thickBot="1">
      <c r="A29" s="34"/>
      <c r="B29" s="21" t="s">
        <v>167</v>
      </c>
      <c r="C29" s="21" t="s">
        <v>10</v>
      </c>
      <c r="D29" s="21" t="s">
        <v>11</v>
      </c>
      <c r="E29" s="21" t="s">
        <v>12</v>
      </c>
      <c r="F29" s="21" t="s">
        <v>168</v>
      </c>
      <c r="G29" s="21" t="s">
        <v>169</v>
      </c>
    </row>
    <row r="30" spans="1:12">
      <c r="A30" s="229" t="s">
        <v>170</v>
      </c>
      <c r="B30" s="2">
        <v>0</v>
      </c>
      <c r="C30" s="173">
        <v>24.280463999999998</v>
      </c>
      <c r="D30" s="173">
        <v>24.193906999999999</v>
      </c>
      <c r="E30" s="173">
        <v>24.111681000000001</v>
      </c>
      <c r="F30" s="173">
        <v>24.195350646972656</v>
      </c>
      <c r="G30" s="173">
        <v>8.4400855004787445E-2</v>
      </c>
    </row>
    <row r="31" spans="1:12">
      <c r="A31" s="229"/>
      <c r="B31" s="2">
        <v>24</v>
      </c>
      <c r="C31" s="173">
        <v>24.057936000000002</v>
      </c>
      <c r="D31" s="173">
        <v>24.164726000000002</v>
      </c>
      <c r="E31" s="173">
        <v>24.11431</v>
      </c>
      <c r="F31" s="173">
        <v>24.112325668334961</v>
      </c>
      <c r="G31" s="173">
        <v>5.3422950208187103E-2</v>
      </c>
    </row>
    <row r="32" spans="1:12">
      <c r="A32" s="213"/>
      <c r="B32" s="29">
        <v>48</v>
      </c>
      <c r="C32" s="175">
        <v>24.175180000000001</v>
      </c>
      <c r="D32" s="175">
        <v>24.164750999999999</v>
      </c>
      <c r="E32" s="175">
        <v>24.222390000000001</v>
      </c>
      <c r="F32" s="175">
        <v>24.18743896484375</v>
      </c>
      <c r="G32" s="175">
        <v>3.071264736354351E-2</v>
      </c>
    </row>
    <row r="33" spans="1:17">
      <c r="A33" s="229" t="s">
        <v>171</v>
      </c>
      <c r="B33" s="2">
        <v>0</v>
      </c>
      <c r="C33" s="173">
        <v>24.394317999999998</v>
      </c>
      <c r="D33" s="173">
        <v>24.052455999999999</v>
      </c>
      <c r="E33" s="173">
        <v>24.173113000000001</v>
      </c>
      <c r="F33" s="173">
        <v>24.206628799438477</v>
      </c>
      <c r="G33" s="173">
        <v>0.17337776720523834</v>
      </c>
    </row>
    <row r="34" spans="1:17">
      <c r="A34" s="229"/>
      <c r="B34" s="2">
        <v>24</v>
      </c>
      <c r="C34" s="173">
        <v>24.100871999999999</v>
      </c>
      <c r="D34" s="173">
        <v>24.159732999999999</v>
      </c>
      <c r="E34" s="173">
        <v>24.308433999999998</v>
      </c>
      <c r="F34" s="173">
        <v>24.189680099487305</v>
      </c>
      <c r="G34" s="173">
        <v>0.10697216540575027</v>
      </c>
    </row>
    <row r="35" spans="1:17" ht="15.75" thickBot="1">
      <c r="A35" s="213"/>
      <c r="B35" s="29">
        <v>48</v>
      </c>
      <c r="C35" s="175">
        <v>24.304673999999999</v>
      </c>
      <c r="D35" s="175">
        <v>24.389364</v>
      </c>
      <c r="E35" s="175">
        <v>24.406977000000001</v>
      </c>
      <c r="F35" s="175">
        <v>24.36700439453125</v>
      </c>
      <c r="G35" s="175">
        <v>5.4693728685379028E-2</v>
      </c>
      <c r="J35" t="s">
        <v>170</v>
      </c>
      <c r="K35" t="s">
        <v>171</v>
      </c>
      <c r="L35" t="s">
        <v>172</v>
      </c>
      <c r="N35" s="30"/>
      <c r="Q35" s="34"/>
    </row>
    <row r="36" spans="1:17">
      <c r="A36" s="229" t="s">
        <v>172</v>
      </c>
      <c r="B36" s="2">
        <v>0</v>
      </c>
      <c r="C36" s="173">
        <v>27.319876000000001</v>
      </c>
      <c r="D36" s="173">
        <v>27.184092</v>
      </c>
      <c r="E36" s="173">
        <v>27.198948000000001</v>
      </c>
      <c r="F36" s="173">
        <v>27.234306335449201</v>
      </c>
      <c r="G36" s="173">
        <v>7.4477717280387878E-2</v>
      </c>
      <c r="I36" s="2" t="s">
        <v>173</v>
      </c>
      <c r="J36" s="173">
        <v>24.195350646972656</v>
      </c>
      <c r="K36" s="173">
        <v>24.206628799438477</v>
      </c>
      <c r="L36" s="173">
        <v>27.234306335449201</v>
      </c>
    </row>
    <row r="37" spans="1:17">
      <c r="A37" s="229"/>
      <c r="B37" s="2">
        <v>24</v>
      </c>
      <c r="C37" s="173">
        <v>27.228300000000001</v>
      </c>
      <c r="D37" s="173">
        <v>27.143595000000001</v>
      </c>
      <c r="E37" s="173">
        <v>27.297374999999999</v>
      </c>
      <c r="F37" s="173">
        <v>27.223091125488281</v>
      </c>
      <c r="G37" s="173">
        <v>7.7022276818752289E-2</v>
      </c>
      <c r="I37" s="2" t="s">
        <v>174</v>
      </c>
      <c r="J37" s="173">
        <v>24.112325668334961</v>
      </c>
      <c r="K37" s="173">
        <v>24.189680099487305</v>
      </c>
      <c r="L37" s="173">
        <v>27.223091125488281</v>
      </c>
    </row>
    <row r="38" spans="1:17" ht="15.75" thickBot="1">
      <c r="A38" s="241"/>
      <c r="B38" s="33">
        <v>48</v>
      </c>
      <c r="C38" s="174">
        <v>27.128976999999999</v>
      </c>
      <c r="D38" s="174">
        <v>27.129553000000001</v>
      </c>
      <c r="E38" s="174">
        <v>27.105589999999999</v>
      </c>
      <c r="F38" s="174">
        <v>27.121374130249023</v>
      </c>
      <c r="G38" s="174">
        <v>1.3671230524778366E-2</v>
      </c>
      <c r="I38" s="29" t="s">
        <v>175</v>
      </c>
      <c r="J38" s="175">
        <v>24.18743896484375</v>
      </c>
      <c r="K38" s="175">
        <v>24.36700439453125</v>
      </c>
      <c r="L38" s="174">
        <v>27.121374130249023</v>
      </c>
    </row>
  </sheetData>
  <mergeCells count="14">
    <mergeCell ref="A30:A32"/>
    <mergeCell ref="A33:A35"/>
    <mergeCell ref="A36:A38"/>
    <mergeCell ref="A2:A9"/>
    <mergeCell ref="B8:B9"/>
    <mergeCell ref="B16:B17"/>
    <mergeCell ref="B18:B19"/>
    <mergeCell ref="A10:A19"/>
    <mergeCell ref="B2:B3"/>
    <mergeCell ref="B4:B5"/>
    <mergeCell ref="B6:B7"/>
    <mergeCell ref="B10:B11"/>
    <mergeCell ref="B12:B13"/>
    <mergeCell ref="B14:B15"/>
  </mergeCells>
  <phoneticPr fontId="12" type="noConversion"/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8A26-140E-4995-AD2F-F436F0586E18}">
  <dimension ref="A1:O65"/>
  <sheetViews>
    <sheetView topLeftCell="A52" workbookViewId="0">
      <selection activeCell="D15" sqref="D15"/>
    </sheetView>
  </sheetViews>
  <sheetFormatPr defaultRowHeight="15"/>
  <cols>
    <col min="1" max="1" width="18" bestFit="1" customWidth="1"/>
    <col min="2" max="2" width="13.140625" bestFit="1" customWidth="1"/>
    <col min="3" max="3" width="7" bestFit="1" customWidth="1"/>
    <col min="4" max="4" width="18" bestFit="1" customWidth="1"/>
    <col min="5" max="5" width="7.5703125" bestFit="1" customWidth="1"/>
    <col min="6" max="6" width="9.42578125" bestFit="1" customWidth="1"/>
    <col min="7" max="7" width="15" bestFit="1" customWidth="1"/>
    <col min="8" max="8" width="34.28515625" customWidth="1"/>
    <col min="14" max="14" width="11.140625" customWidth="1"/>
  </cols>
  <sheetData>
    <row r="1" spans="1:8" ht="21">
      <c r="A1" s="247" t="s">
        <v>176</v>
      </c>
      <c r="B1" s="247"/>
      <c r="C1" s="247"/>
      <c r="D1" s="247"/>
      <c r="E1" s="247"/>
      <c r="F1" s="247"/>
      <c r="G1" s="247"/>
      <c r="H1" s="247"/>
    </row>
    <row r="2" spans="1:8" ht="71.25" customHeight="1">
      <c r="A2" s="181" t="s">
        <v>177</v>
      </c>
      <c r="B2" s="181" t="s">
        <v>3</v>
      </c>
      <c r="C2" s="181" t="s">
        <v>178</v>
      </c>
      <c r="D2" s="181" t="s">
        <v>179</v>
      </c>
      <c r="E2" s="181" t="s">
        <v>180</v>
      </c>
      <c r="F2" s="181" t="s">
        <v>181</v>
      </c>
      <c r="G2" s="181" t="s">
        <v>182</v>
      </c>
      <c r="H2" s="181" t="s">
        <v>183</v>
      </c>
    </row>
    <row r="3" spans="1:8">
      <c r="A3" s="182" t="s">
        <v>184</v>
      </c>
      <c r="B3" s="182" t="s">
        <v>185</v>
      </c>
      <c r="C3" s="182" t="s">
        <v>18</v>
      </c>
      <c r="D3" s="182" t="s">
        <v>186</v>
      </c>
      <c r="E3" s="182" t="s">
        <v>187</v>
      </c>
      <c r="F3" s="183">
        <v>45576</v>
      </c>
      <c r="G3" s="182" t="s">
        <v>188</v>
      </c>
      <c r="H3" s="248" t="s">
        <v>189</v>
      </c>
    </row>
    <row r="4" spans="1:8">
      <c r="A4" s="182" t="s">
        <v>184</v>
      </c>
      <c r="B4" s="182" t="s">
        <v>190</v>
      </c>
      <c r="C4" s="182" t="s">
        <v>18</v>
      </c>
      <c r="D4" s="182" t="s">
        <v>186</v>
      </c>
      <c r="E4" s="182" t="s">
        <v>187</v>
      </c>
      <c r="F4" s="183">
        <v>45576</v>
      </c>
      <c r="G4" s="182" t="s">
        <v>188</v>
      </c>
      <c r="H4" s="249"/>
    </row>
    <row r="5" spans="1:8">
      <c r="A5" s="182" t="s">
        <v>184</v>
      </c>
      <c r="B5" s="182" t="s">
        <v>191</v>
      </c>
      <c r="C5" s="182" t="s">
        <v>18</v>
      </c>
      <c r="D5" s="182" t="s">
        <v>186</v>
      </c>
      <c r="E5" s="182" t="s">
        <v>187</v>
      </c>
      <c r="F5" s="183">
        <v>45576</v>
      </c>
      <c r="G5" s="182" t="s">
        <v>188</v>
      </c>
      <c r="H5" s="249"/>
    </row>
    <row r="6" spans="1:8">
      <c r="A6" s="182" t="s">
        <v>184</v>
      </c>
      <c r="B6" s="182" t="s">
        <v>192</v>
      </c>
      <c r="C6" s="182" t="s">
        <v>18</v>
      </c>
      <c r="D6" s="182" t="s">
        <v>193</v>
      </c>
      <c r="E6" s="182" t="s">
        <v>187</v>
      </c>
      <c r="F6" s="183">
        <v>45576</v>
      </c>
      <c r="G6" s="182" t="s">
        <v>188</v>
      </c>
      <c r="H6" s="249"/>
    </row>
    <row r="7" spans="1:8">
      <c r="A7" s="182" t="s">
        <v>184</v>
      </c>
      <c r="B7" s="182" t="s">
        <v>28</v>
      </c>
      <c r="C7" s="182"/>
      <c r="D7" s="182" t="s">
        <v>194</v>
      </c>
      <c r="E7" s="182" t="s">
        <v>187</v>
      </c>
      <c r="F7" s="183">
        <v>45576</v>
      </c>
      <c r="G7" s="182" t="s">
        <v>188</v>
      </c>
      <c r="H7" s="250"/>
    </row>
    <row r="11" spans="1:8" ht="15.75" thickBot="1"/>
    <row r="12" spans="1:8" ht="15.75" thickBot="1">
      <c r="A12" s="218" t="s">
        <v>94</v>
      </c>
      <c r="B12" s="219"/>
      <c r="C12" s="219"/>
      <c r="D12" s="219"/>
      <c r="E12" s="219"/>
      <c r="F12" s="220"/>
    </row>
    <row r="13" spans="1:8" ht="60">
      <c r="A13" s="184" t="s">
        <v>3</v>
      </c>
      <c r="B13" s="185" t="s">
        <v>132</v>
      </c>
      <c r="C13" s="185" t="s">
        <v>195</v>
      </c>
      <c r="D13" s="185" t="s">
        <v>196</v>
      </c>
      <c r="E13" s="185" t="s">
        <v>197</v>
      </c>
      <c r="F13" s="186" t="s">
        <v>198</v>
      </c>
    </row>
    <row r="14" spans="1:8">
      <c r="A14" s="187" t="s">
        <v>199</v>
      </c>
      <c r="B14" s="182" t="s">
        <v>1</v>
      </c>
      <c r="C14" s="188">
        <v>10.4</v>
      </c>
      <c r="D14" s="188">
        <v>10.5</v>
      </c>
      <c r="E14" s="188"/>
      <c r="F14" s="189" t="s">
        <v>200</v>
      </c>
    </row>
    <row r="15" spans="1:8">
      <c r="A15" s="187" t="s">
        <v>201</v>
      </c>
      <c r="B15" s="182" t="s">
        <v>1</v>
      </c>
      <c r="C15" s="188">
        <v>35.6</v>
      </c>
      <c r="D15" s="188">
        <v>35.700000000000003</v>
      </c>
      <c r="E15" s="188"/>
      <c r="F15" s="189" t="s">
        <v>200</v>
      </c>
    </row>
    <row r="16" spans="1:8">
      <c r="A16" s="187" t="s">
        <v>202</v>
      </c>
      <c r="B16" s="182" t="s">
        <v>1</v>
      </c>
      <c r="C16" s="188">
        <v>28.9</v>
      </c>
      <c r="D16" s="188">
        <v>29</v>
      </c>
      <c r="E16" s="188">
        <v>28.8</v>
      </c>
      <c r="F16" s="189" t="s">
        <v>200</v>
      </c>
    </row>
    <row r="17" spans="1:12">
      <c r="A17" s="187" t="s">
        <v>203</v>
      </c>
      <c r="B17" s="182" t="s">
        <v>1</v>
      </c>
      <c r="C17" s="188">
        <v>29.6</v>
      </c>
      <c r="D17" s="188">
        <v>29.6</v>
      </c>
      <c r="E17" s="188">
        <v>29.5</v>
      </c>
      <c r="F17" s="189" t="s">
        <v>200</v>
      </c>
    </row>
    <row r="18" spans="1:12">
      <c r="A18" s="187" t="s">
        <v>204</v>
      </c>
      <c r="B18" s="182" t="s">
        <v>1</v>
      </c>
      <c r="C18" s="188" t="s">
        <v>126</v>
      </c>
      <c r="D18" s="188" t="s">
        <v>126</v>
      </c>
      <c r="E18" s="188"/>
      <c r="F18" s="189" t="s">
        <v>200</v>
      </c>
    </row>
    <row r="19" spans="1:12">
      <c r="A19" s="187" t="s">
        <v>205</v>
      </c>
      <c r="B19" s="182" t="s">
        <v>1</v>
      </c>
      <c r="C19" s="188" t="s">
        <v>126</v>
      </c>
      <c r="D19" s="188" t="s">
        <v>126</v>
      </c>
      <c r="E19" s="188"/>
      <c r="F19" s="189" t="s">
        <v>200</v>
      </c>
    </row>
    <row r="20" spans="1:12" ht="15.75" thickBot="1">
      <c r="A20" s="190" t="s">
        <v>206</v>
      </c>
      <c r="B20" s="191" t="s">
        <v>1</v>
      </c>
      <c r="C20" s="192" t="s">
        <v>126</v>
      </c>
      <c r="D20" s="192" t="s">
        <v>126</v>
      </c>
      <c r="E20" s="192"/>
      <c r="F20" s="193" t="s">
        <v>200</v>
      </c>
    </row>
    <row r="24" spans="1:12" ht="15.75" thickBot="1"/>
    <row r="25" spans="1:12" ht="15.75" thickBot="1">
      <c r="A25" s="218" t="s">
        <v>207</v>
      </c>
      <c r="B25" s="219"/>
      <c r="C25" s="219"/>
      <c r="D25" s="219"/>
      <c r="E25" s="219"/>
      <c r="F25" s="219"/>
      <c r="G25" s="219"/>
      <c r="H25" s="219"/>
      <c r="I25" s="219"/>
      <c r="J25" s="219"/>
      <c r="K25" s="219"/>
      <c r="L25" s="220"/>
    </row>
    <row r="26" spans="1:12" ht="90">
      <c r="A26" s="184" t="s">
        <v>3</v>
      </c>
      <c r="B26" s="185" t="s">
        <v>208</v>
      </c>
      <c r="C26" s="185" t="s">
        <v>209</v>
      </c>
      <c r="D26" s="185" t="s">
        <v>132</v>
      </c>
      <c r="E26" s="185" t="s">
        <v>195</v>
      </c>
      <c r="F26" s="185" t="s">
        <v>196</v>
      </c>
      <c r="G26" s="185" t="s">
        <v>197</v>
      </c>
      <c r="H26" s="185" t="s">
        <v>198</v>
      </c>
      <c r="I26" s="185" t="s">
        <v>132</v>
      </c>
      <c r="J26" s="185" t="s">
        <v>195</v>
      </c>
      <c r="K26" s="185" t="s">
        <v>196</v>
      </c>
      <c r="L26" s="186" t="s">
        <v>197</v>
      </c>
    </row>
    <row r="27" spans="1:12">
      <c r="A27" s="187" t="s">
        <v>199</v>
      </c>
      <c r="B27" s="188"/>
      <c r="C27" s="188"/>
      <c r="D27" s="188" t="s">
        <v>1</v>
      </c>
      <c r="E27" s="194">
        <v>9.8903189999999999</v>
      </c>
      <c r="F27" s="194">
        <v>9.871518</v>
      </c>
      <c r="G27" s="194">
        <v>9.8719529999999995</v>
      </c>
      <c r="H27" s="188"/>
      <c r="I27" s="188"/>
      <c r="J27" s="188"/>
      <c r="K27" s="188"/>
      <c r="L27" s="189"/>
    </row>
    <row r="28" spans="1:12">
      <c r="A28" s="187" t="s">
        <v>210</v>
      </c>
      <c r="B28" s="188"/>
      <c r="C28" s="188"/>
      <c r="D28" s="188" t="s">
        <v>1</v>
      </c>
      <c r="E28" s="194">
        <v>20.911504999999998</v>
      </c>
      <c r="F28" s="194">
        <v>20.921173</v>
      </c>
      <c r="G28" s="194">
        <v>20.941927</v>
      </c>
      <c r="H28" s="188"/>
      <c r="I28" s="188"/>
      <c r="J28" s="188"/>
      <c r="K28" s="188"/>
      <c r="L28" s="189"/>
    </row>
    <row r="29" spans="1:12">
      <c r="A29" s="187" t="s">
        <v>211</v>
      </c>
      <c r="B29" s="188"/>
      <c r="C29" s="188"/>
      <c r="D29" s="188" t="s">
        <v>1</v>
      </c>
      <c r="E29" s="194">
        <v>24.545427</v>
      </c>
      <c r="F29" s="194">
        <v>24.559411999999998</v>
      </c>
      <c r="G29" s="194">
        <v>24.410177000000001</v>
      </c>
      <c r="H29" s="188"/>
      <c r="I29" s="188"/>
      <c r="J29" s="188"/>
      <c r="K29" s="188"/>
      <c r="L29" s="189"/>
    </row>
    <row r="30" spans="1:12">
      <c r="A30" s="187" t="s">
        <v>212</v>
      </c>
      <c r="B30" s="188"/>
      <c r="C30" s="188"/>
      <c r="D30" s="188" t="s">
        <v>1</v>
      </c>
      <c r="E30" s="194">
        <v>28.093070999999998</v>
      </c>
      <c r="F30" s="194">
        <v>28.090153000000001</v>
      </c>
      <c r="G30" s="194">
        <v>28.170840999999999</v>
      </c>
      <c r="H30" s="188"/>
      <c r="I30" s="188"/>
      <c r="J30" s="188"/>
      <c r="K30" s="188"/>
      <c r="L30" s="189"/>
    </row>
    <row r="31" spans="1:12">
      <c r="A31" s="187" t="s">
        <v>213</v>
      </c>
      <c r="B31" s="188"/>
      <c r="C31" s="188"/>
      <c r="D31" s="188" t="s">
        <v>1</v>
      </c>
      <c r="E31" s="194">
        <v>30.96068</v>
      </c>
      <c r="F31" s="194">
        <v>31.091097000000001</v>
      </c>
      <c r="G31" s="194">
        <v>31.050169</v>
      </c>
      <c r="H31" s="188"/>
      <c r="I31" s="188"/>
      <c r="J31" s="188"/>
      <c r="K31" s="188"/>
      <c r="L31" s="189"/>
    </row>
    <row r="32" spans="1:12">
      <c r="A32" s="187" t="s">
        <v>201</v>
      </c>
      <c r="B32" s="188"/>
      <c r="C32" s="188"/>
      <c r="D32" s="188" t="s">
        <v>1</v>
      </c>
      <c r="E32" s="194">
        <v>34.582675999999999</v>
      </c>
      <c r="F32" s="194">
        <v>34.334780000000002</v>
      </c>
      <c r="G32" s="194">
        <v>34.828662999999999</v>
      </c>
      <c r="H32" s="188"/>
      <c r="I32" s="188"/>
      <c r="J32" s="188"/>
      <c r="K32" s="188"/>
      <c r="L32" s="189"/>
    </row>
    <row r="33" spans="1:13">
      <c r="A33" s="187" t="s">
        <v>214</v>
      </c>
      <c r="B33" s="188"/>
      <c r="C33" s="188"/>
      <c r="D33" s="188" t="s">
        <v>1</v>
      </c>
      <c r="E33" s="194">
        <v>37.189326999999999</v>
      </c>
      <c r="F33" s="194">
        <v>36.315069999999999</v>
      </c>
      <c r="G33" s="194">
        <v>38.388012000000003</v>
      </c>
      <c r="H33" s="188"/>
      <c r="I33" s="188"/>
      <c r="J33" s="188"/>
      <c r="K33" s="188"/>
      <c r="L33" s="189"/>
    </row>
    <row r="34" spans="1:13">
      <c r="A34" s="187" t="s">
        <v>202</v>
      </c>
      <c r="B34" s="188" t="s">
        <v>215</v>
      </c>
      <c r="C34" s="188">
        <v>110</v>
      </c>
      <c r="D34" s="188" t="s">
        <v>1</v>
      </c>
      <c r="E34" s="194">
        <v>27.814833</v>
      </c>
      <c r="F34" s="194">
        <v>27.674786000000001</v>
      </c>
      <c r="G34" s="194">
        <v>27.675234</v>
      </c>
      <c r="H34" s="188" t="s">
        <v>216</v>
      </c>
      <c r="I34" s="188" t="s">
        <v>217</v>
      </c>
      <c r="J34" s="194">
        <v>28.305482999999999</v>
      </c>
      <c r="K34" s="194">
        <v>28.518685999999999</v>
      </c>
      <c r="L34" s="195">
        <v>27.882954000000002</v>
      </c>
    </row>
    <row r="35" spans="1:13">
      <c r="A35" s="187" t="s">
        <v>218</v>
      </c>
      <c r="B35" s="188" t="s">
        <v>219</v>
      </c>
      <c r="C35" s="188">
        <v>97.8</v>
      </c>
      <c r="D35" s="188" t="s">
        <v>1</v>
      </c>
      <c r="E35" s="194">
        <v>28.142942000000001</v>
      </c>
      <c r="F35" s="194">
        <v>28.134699999999999</v>
      </c>
      <c r="G35" s="194">
        <v>28.210722000000001</v>
      </c>
      <c r="H35" s="188" t="s">
        <v>216</v>
      </c>
      <c r="I35" s="188" t="s">
        <v>217</v>
      </c>
      <c r="J35" s="194">
        <v>28.555430999999999</v>
      </c>
      <c r="K35" s="194">
        <v>28.537745000000001</v>
      </c>
      <c r="L35" s="195">
        <v>28.515346999999998</v>
      </c>
    </row>
    <row r="36" spans="1:13">
      <c r="A36" s="187" t="s">
        <v>203</v>
      </c>
      <c r="B36" s="196" t="s">
        <v>215</v>
      </c>
      <c r="C36" s="196">
        <v>114</v>
      </c>
      <c r="D36" s="188" t="s">
        <v>1</v>
      </c>
      <c r="E36" s="194">
        <v>28.41451</v>
      </c>
      <c r="F36" s="194">
        <v>28.217490000000002</v>
      </c>
      <c r="G36" s="194">
        <v>28.185016999999998</v>
      </c>
      <c r="H36" s="188" t="s">
        <v>216</v>
      </c>
      <c r="I36" s="188" t="s">
        <v>217</v>
      </c>
      <c r="J36" s="194">
        <v>28.504352999999998</v>
      </c>
      <c r="K36" s="194">
        <v>28.674633</v>
      </c>
      <c r="L36" s="195">
        <v>28.616014</v>
      </c>
    </row>
    <row r="37" spans="1:13">
      <c r="A37" s="187" t="s">
        <v>220</v>
      </c>
      <c r="B37" s="196" t="s">
        <v>219</v>
      </c>
      <c r="C37" s="196">
        <v>120</v>
      </c>
      <c r="D37" s="188" t="s">
        <v>1</v>
      </c>
      <c r="E37" s="194">
        <v>28.956516000000001</v>
      </c>
      <c r="F37" s="194">
        <v>28.94811</v>
      </c>
      <c r="G37" s="194">
        <v>29.062882999999999</v>
      </c>
      <c r="H37" s="188" t="s">
        <v>216</v>
      </c>
      <c r="I37" s="188" t="s">
        <v>217</v>
      </c>
      <c r="J37" s="194">
        <v>28.532468999999999</v>
      </c>
      <c r="K37" s="194">
        <v>28.530075</v>
      </c>
      <c r="L37" s="195">
        <v>28.529377</v>
      </c>
    </row>
    <row r="38" spans="1:13">
      <c r="A38" s="187" t="s">
        <v>221</v>
      </c>
      <c r="B38" s="196" t="s">
        <v>215</v>
      </c>
      <c r="C38" s="196">
        <v>118</v>
      </c>
      <c r="D38" s="188" t="s">
        <v>1</v>
      </c>
      <c r="E38" s="194">
        <v>28.297920000000001</v>
      </c>
      <c r="F38" s="194">
        <v>28.313079999999999</v>
      </c>
      <c r="G38" s="194">
        <v>28.374765</v>
      </c>
      <c r="H38" s="188" t="s">
        <v>216</v>
      </c>
      <c r="I38" s="188" t="s">
        <v>217</v>
      </c>
      <c r="J38" s="194">
        <v>28.43646</v>
      </c>
      <c r="K38" s="194">
        <v>28.639071999999999</v>
      </c>
      <c r="L38" s="195">
        <v>28.587119999999999</v>
      </c>
    </row>
    <row r="39" spans="1:13">
      <c r="A39" s="187" t="s">
        <v>222</v>
      </c>
      <c r="B39" s="196" t="s">
        <v>219</v>
      </c>
      <c r="C39" s="196">
        <v>106</v>
      </c>
      <c r="D39" s="188" t="s">
        <v>1</v>
      </c>
      <c r="E39" s="194">
        <v>27.880465999999998</v>
      </c>
      <c r="F39" s="194">
        <v>27.924803000000001</v>
      </c>
      <c r="G39" s="194">
        <v>27.986060999999999</v>
      </c>
      <c r="H39" s="188" t="s">
        <v>216</v>
      </c>
      <c r="I39" s="188" t="s">
        <v>217</v>
      </c>
      <c r="J39" s="194">
        <v>28.543665000000001</v>
      </c>
      <c r="K39" s="194">
        <v>28.561584</v>
      </c>
      <c r="L39" s="195">
        <v>28.574473999999999</v>
      </c>
    </row>
    <row r="40" spans="1:13">
      <c r="A40" s="187" t="s">
        <v>223</v>
      </c>
      <c r="B40" s="196" t="s">
        <v>215</v>
      </c>
      <c r="C40" s="196">
        <v>0.51600000000000001</v>
      </c>
      <c r="D40" s="188" t="s">
        <v>1</v>
      </c>
      <c r="E40" s="188" t="s">
        <v>126</v>
      </c>
      <c r="F40" s="188" t="s">
        <v>126</v>
      </c>
      <c r="G40" s="188" t="s">
        <v>126</v>
      </c>
      <c r="H40" s="188" t="s">
        <v>216</v>
      </c>
      <c r="I40" s="188" t="s">
        <v>217</v>
      </c>
      <c r="J40" s="194">
        <v>28.752124999999999</v>
      </c>
      <c r="K40" s="194">
        <v>28.797471999999999</v>
      </c>
      <c r="L40" s="195">
        <v>28.744547000000001</v>
      </c>
    </row>
    <row r="41" spans="1:13">
      <c r="A41" s="187" t="s">
        <v>224</v>
      </c>
      <c r="B41" s="196" t="s">
        <v>219</v>
      </c>
      <c r="C41" s="196">
        <v>0.54600000000000004</v>
      </c>
      <c r="D41" s="188" t="s">
        <v>1</v>
      </c>
      <c r="E41" s="188" t="s">
        <v>126</v>
      </c>
      <c r="F41" s="188" t="s">
        <v>126</v>
      </c>
      <c r="G41" s="188" t="s">
        <v>126</v>
      </c>
      <c r="H41" s="188" t="s">
        <v>216</v>
      </c>
      <c r="I41" s="188" t="s">
        <v>217</v>
      </c>
      <c r="J41" s="194">
        <v>28.697620000000001</v>
      </c>
      <c r="K41" s="194">
        <v>28.738405</v>
      </c>
      <c r="L41" s="195">
        <v>28.776768000000001</v>
      </c>
    </row>
    <row r="42" spans="1:13">
      <c r="A42" s="197" t="s">
        <v>204</v>
      </c>
      <c r="B42" s="196" t="s">
        <v>215</v>
      </c>
      <c r="C42" s="196">
        <v>0</v>
      </c>
      <c r="D42" s="188" t="s">
        <v>1</v>
      </c>
      <c r="E42" s="188" t="s">
        <v>126</v>
      </c>
      <c r="F42" s="188" t="s">
        <v>126</v>
      </c>
      <c r="G42" s="188" t="s">
        <v>126</v>
      </c>
      <c r="H42" s="188" t="s">
        <v>216</v>
      </c>
      <c r="I42" s="188" t="s">
        <v>217</v>
      </c>
      <c r="J42" s="194">
        <v>28.716875000000002</v>
      </c>
      <c r="K42" s="194">
        <v>28.581887999999999</v>
      </c>
      <c r="L42" s="195">
        <v>28.720001</v>
      </c>
    </row>
    <row r="43" spans="1:13">
      <c r="A43" s="187" t="s">
        <v>225</v>
      </c>
      <c r="B43" s="196" t="s">
        <v>219</v>
      </c>
      <c r="C43" s="196">
        <v>0</v>
      </c>
      <c r="D43" s="188" t="s">
        <v>1</v>
      </c>
      <c r="E43" s="188" t="s">
        <v>126</v>
      </c>
      <c r="F43" s="188" t="s">
        <v>126</v>
      </c>
      <c r="G43" s="188" t="s">
        <v>126</v>
      </c>
      <c r="H43" s="188" t="s">
        <v>216</v>
      </c>
      <c r="I43" s="188" t="s">
        <v>217</v>
      </c>
      <c r="J43" s="194">
        <v>28.716584999999998</v>
      </c>
      <c r="K43" s="194">
        <v>28.751145999999999</v>
      </c>
      <c r="L43" s="195">
        <v>28.91939</v>
      </c>
    </row>
    <row r="44" spans="1:13" ht="15.75" thickBot="1">
      <c r="A44" s="190" t="s">
        <v>206</v>
      </c>
      <c r="B44" s="192"/>
      <c r="C44" s="192"/>
      <c r="D44" s="192" t="s">
        <v>1</v>
      </c>
      <c r="E44" s="192" t="s">
        <v>126</v>
      </c>
      <c r="F44" s="192" t="s">
        <v>126</v>
      </c>
      <c r="G44" s="192" t="s">
        <v>126</v>
      </c>
      <c r="H44" s="192" t="s">
        <v>216</v>
      </c>
      <c r="I44" s="192" t="s">
        <v>217</v>
      </c>
      <c r="J44" s="198">
        <v>28.640211000000001</v>
      </c>
      <c r="K44" s="198">
        <v>28.502624999999998</v>
      </c>
      <c r="L44" s="199">
        <v>28.789368</v>
      </c>
    </row>
    <row r="48" spans="1:13" ht="15.75" thickBot="1">
      <c r="C48" s="251" t="s">
        <v>226</v>
      </c>
      <c r="D48" s="251"/>
      <c r="E48" s="251"/>
      <c r="F48" s="251"/>
      <c r="G48" s="251"/>
      <c r="H48" s="252" t="s">
        <v>227</v>
      </c>
      <c r="I48" s="251"/>
      <c r="J48" s="251"/>
      <c r="K48" s="251"/>
      <c r="L48" s="251"/>
      <c r="M48" s="1"/>
    </row>
    <row r="49" spans="1:15" ht="60.75" thickBot="1">
      <c r="A49" s="200" t="s">
        <v>3</v>
      </c>
      <c r="B49" s="201" t="s">
        <v>208</v>
      </c>
      <c r="C49" s="201" t="s">
        <v>195</v>
      </c>
      <c r="D49" s="201" t="s">
        <v>196</v>
      </c>
      <c r="E49" s="201" t="s">
        <v>197</v>
      </c>
      <c r="F49" s="201" t="s">
        <v>228</v>
      </c>
      <c r="G49" s="201" t="s">
        <v>198</v>
      </c>
      <c r="H49" s="201" t="s">
        <v>195</v>
      </c>
      <c r="I49" s="201" t="s">
        <v>196</v>
      </c>
      <c r="J49" s="201" t="s">
        <v>197</v>
      </c>
      <c r="K49" s="201" t="s">
        <v>228</v>
      </c>
      <c r="L49" s="201" t="s">
        <v>198</v>
      </c>
    </row>
    <row r="50" spans="1:15">
      <c r="A50" s="202" t="s">
        <v>199</v>
      </c>
      <c r="B50" s="93"/>
      <c r="C50" s="202">
        <v>10.4</v>
      </c>
      <c r="D50" s="202">
        <v>10.5</v>
      </c>
      <c r="E50" s="202"/>
      <c r="F50" s="203">
        <f>AVERAGE(C50:D50)</f>
        <v>10.45</v>
      </c>
      <c r="G50" s="93" t="s">
        <v>200</v>
      </c>
      <c r="H50" s="204">
        <v>9.8903189999999999</v>
      </c>
      <c r="I50" s="204">
        <v>9.871518</v>
      </c>
      <c r="J50" s="204">
        <v>9.8719529999999995</v>
      </c>
      <c r="K50" s="205">
        <f>AVERAGE(H50:J50)</f>
        <v>9.8779299999999992</v>
      </c>
      <c r="L50" s="93" t="s">
        <v>216</v>
      </c>
    </row>
    <row r="51" spans="1:15">
      <c r="A51" s="202" t="s">
        <v>201</v>
      </c>
      <c r="B51" s="93"/>
      <c r="C51" s="202">
        <v>35.6</v>
      </c>
      <c r="D51" s="202">
        <v>30.7</v>
      </c>
      <c r="E51" s="202"/>
      <c r="F51" s="203">
        <f>AVERAGE(C51:D51)</f>
        <v>33.15</v>
      </c>
      <c r="G51" s="93" t="s">
        <v>200</v>
      </c>
      <c r="H51" s="206">
        <v>34.582675999999999</v>
      </c>
      <c r="I51" s="206">
        <v>34.334780000000002</v>
      </c>
      <c r="J51" s="206">
        <v>34.828662999999999</v>
      </c>
      <c r="K51" s="205">
        <f>AVERAGE(H51:J51)</f>
        <v>34.582039666666667</v>
      </c>
      <c r="L51" s="93" t="s">
        <v>216</v>
      </c>
      <c r="O51" s="38"/>
    </row>
    <row r="52" spans="1:15">
      <c r="A52" s="202" t="s">
        <v>202</v>
      </c>
      <c r="B52" s="202" t="s">
        <v>215</v>
      </c>
      <c r="C52" s="202">
        <v>28.9</v>
      </c>
      <c r="D52" s="202">
        <v>29</v>
      </c>
      <c r="E52" s="202">
        <v>28.8</v>
      </c>
      <c r="F52" s="93">
        <f>AVERAGE(C52:E52)</f>
        <v>28.900000000000002</v>
      </c>
      <c r="G52" s="93" t="s">
        <v>200</v>
      </c>
      <c r="H52" s="204">
        <v>27.814833</v>
      </c>
      <c r="I52" s="204">
        <v>27.674786000000001</v>
      </c>
      <c r="J52" s="204">
        <v>27.675234</v>
      </c>
      <c r="K52" s="205">
        <f t="shared" ref="K52:K57" si="0">AVERAGE(H52:J52)</f>
        <v>27.72161766666667</v>
      </c>
      <c r="L52" s="93" t="s">
        <v>216</v>
      </c>
      <c r="N52" s="246"/>
      <c r="O52" s="212"/>
    </row>
    <row r="53" spans="1:15">
      <c r="A53" s="202" t="s">
        <v>218</v>
      </c>
      <c r="B53" s="202" t="s">
        <v>219</v>
      </c>
      <c r="C53" s="207" t="s">
        <v>229</v>
      </c>
      <c r="D53" s="207" t="s">
        <v>229</v>
      </c>
      <c r="E53" s="207" t="s">
        <v>229</v>
      </c>
      <c r="F53" s="93"/>
      <c r="G53" s="207" t="s">
        <v>229</v>
      </c>
      <c r="H53" s="204">
        <v>28.142942000000001</v>
      </c>
      <c r="I53" s="204">
        <v>28.134699999999999</v>
      </c>
      <c r="J53" s="204">
        <v>28.210722000000001</v>
      </c>
      <c r="K53" s="205">
        <f t="shared" si="0"/>
        <v>28.162788000000003</v>
      </c>
      <c r="L53" s="93" t="s">
        <v>216</v>
      </c>
      <c r="N53" s="246"/>
      <c r="O53" s="212"/>
    </row>
    <row r="54" spans="1:15">
      <c r="A54" s="202" t="s">
        <v>203</v>
      </c>
      <c r="B54" s="202" t="s">
        <v>215</v>
      </c>
      <c r="C54" s="202">
        <v>29.6</v>
      </c>
      <c r="D54" s="202">
        <v>29.6</v>
      </c>
      <c r="E54" s="202">
        <v>29.5</v>
      </c>
      <c r="F54" s="208">
        <f>AVERAGE(C54:E54)</f>
        <v>29.566666666666666</v>
      </c>
      <c r="G54" s="93" t="s">
        <v>200</v>
      </c>
      <c r="H54" s="204">
        <v>28.41451</v>
      </c>
      <c r="I54" s="204">
        <v>28.217490000000002</v>
      </c>
      <c r="J54" s="204">
        <v>28.185016999999998</v>
      </c>
      <c r="K54" s="205">
        <f t="shared" si="0"/>
        <v>28.272339000000002</v>
      </c>
      <c r="L54" s="93" t="s">
        <v>216</v>
      </c>
      <c r="N54" s="246"/>
      <c r="O54" s="212"/>
    </row>
    <row r="55" spans="1:15">
      <c r="A55" s="202" t="s">
        <v>220</v>
      </c>
      <c r="B55" s="202" t="s">
        <v>219</v>
      </c>
      <c r="C55" s="207" t="s">
        <v>229</v>
      </c>
      <c r="D55" s="207" t="s">
        <v>229</v>
      </c>
      <c r="E55" s="207" t="s">
        <v>229</v>
      </c>
      <c r="F55" s="93"/>
      <c r="G55" s="207" t="s">
        <v>229</v>
      </c>
      <c r="H55" s="204">
        <v>28.956516000000001</v>
      </c>
      <c r="I55" s="204">
        <v>28.94811</v>
      </c>
      <c r="J55" s="204">
        <v>29.062882999999999</v>
      </c>
      <c r="K55" s="205">
        <f t="shared" si="0"/>
        <v>28.989169666666669</v>
      </c>
      <c r="L55" s="93" t="s">
        <v>216</v>
      </c>
      <c r="N55" s="246"/>
      <c r="O55" s="212"/>
    </row>
    <row r="56" spans="1:15">
      <c r="A56" s="202" t="s">
        <v>221</v>
      </c>
      <c r="B56" s="196" t="s">
        <v>215</v>
      </c>
      <c r="C56" s="207" t="s">
        <v>229</v>
      </c>
      <c r="D56" s="207" t="s">
        <v>229</v>
      </c>
      <c r="E56" s="207" t="s">
        <v>229</v>
      </c>
      <c r="F56" s="93"/>
      <c r="G56" s="207" t="s">
        <v>229</v>
      </c>
      <c r="H56" s="204">
        <v>28.297920000000001</v>
      </c>
      <c r="I56" s="204">
        <v>28.313079999999999</v>
      </c>
      <c r="J56" s="204">
        <v>28.374765</v>
      </c>
      <c r="K56" s="205">
        <f t="shared" si="0"/>
        <v>28.328588333333332</v>
      </c>
      <c r="L56" s="93" t="s">
        <v>216</v>
      </c>
      <c r="N56" s="246"/>
      <c r="O56" s="212"/>
    </row>
    <row r="57" spans="1:15">
      <c r="A57" s="202" t="s">
        <v>222</v>
      </c>
      <c r="B57" s="202" t="s">
        <v>219</v>
      </c>
      <c r="C57" s="207" t="s">
        <v>229</v>
      </c>
      <c r="D57" s="207" t="s">
        <v>229</v>
      </c>
      <c r="E57" s="207" t="s">
        <v>229</v>
      </c>
      <c r="F57" s="93"/>
      <c r="G57" s="207" t="s">
        <v>229</v>
      </c>
      <c r="H57" s="204">
        <v>27.880465999999998</v>
      </c>
      <c r="I57" s="204">
        <v>27.924803000000001</v>
      </c>
      <c r="J57" s="204">
        <v>27.986060999999999</v>
      </c>
      <c r="K57" s="205">
        <f t="shared" si="0"/>
        <v>27.930443333333329</v>
      </c>
      <c r="L57" s="93" t="s">
        <v>216</v>
      </c>
      <c r="N57" s="246"/>
      <c r="O57" s="93"/>
    </row>
    <row r="58" spans="1:15">
      <c r="A58" s="202" t="s">
        <v>223</v>
      </c>
      <c r="B58" s="202" t="s">
        <v>215</v>
      </c>
      <c r="C58" s="207" t="s">
        <v>126</v>
      </c>
      <c r="D58" s="207" t="s">
        <v>126</v>
      </c>
      <c r="E58" s="207" t="s">
        <v>229</v>
      </c>
      <c r="F58" s="93" t="s">
        <v>126</v>
      </c>
      <c r="G58" s="207" t="s">
        <v>229</v>
      </c>
      <c r="H58" s="207" t="s">
        <v>126</v>
      </c>
      <c r="I58" s="207" t="s">
        <v>126</v>
      </c>
      <c r="J58" s="207" t="s">
        <v>126</v>
      </c>
      <c r="K58" s="204" t="s">
        <v>126</v>
      </c>
      <c r="L58" s="93" t="s">
        <v>216</v>
      </c>
      <c r="N58" s="246"/>
      <c r="O58" s="202"/>
    </row>
    <row r="59" spans="1:15">
      <c r="A59" s="202" t="s">
        <v>224</v>
      </c>
      <c r="B59" s="202" t="s">
        <v>219</v>
      </c>
      <c r="C59" s="207" t="s">
        <v>229</v>
      </c>
      <c r="D59" s="207" t="s">
        <v>229</v>
      </c>
      <c r="E59" s="207" t="s">
        <v>229</v>
      </c>
      <c r="F59" s="93"/>
      <c r="G59" s="93" t="s">
        <v>200</v>
      </c>
      <c r="H59" s="207" t="s">
        <v>126</v>
      </c>
      <c r="I59" s="207" t="s">
        <v>126</v>
      </c>
      <c r="J59" s="207" t="s">
        <v>126</v>
      </c>
      <c r="K59" s="204" t="s">
        <v>126</v>
      </c>
      <c r="L59" s="93" t="s">
        <v>216</v>
      </c>
      <c r="N59" s="246"/>
      <c r="O59" s="212"/>
    </row>
    <row r="60" spans="1:15">
      <c r="A60" s="93" t="s">
        <v>204</v>
      </c>
      <c r="B60" s="202" t="s">
        <v>215</v>
      </c>
      <c r="C60" s="207" t="s">
        <v>126</v>
      </c>
      <c r="D60" s="207" t="s">
        <v>126</v>
      </c>
      <c r="E60" s="207" t="s">
        <v>229</v>
      </c>
      <c r="F60" s="93" t="s">
        <v>126</v>
      </c>
      <c r="G60" s="93" t="s">
        <v>200</v>
      </c>
      <c r="H60" s="207" t="s">
        <v>126</v>
      </c>
      <c r="I60" s="207" t="s">
        <v>126</v>
      </c>
      <c r="J60" s="207" t="s">
        <v>126</v>
      </c>
      <c r="K60" s="204" t="s">
        <v>126</v>
      </c>
      <c r="L60" s="93" t="s">
        <v>216</v>
      </c>
      <c r="N60" s="246"/>
      <c r="O60" s="212"/>
    </row>
    <row r="61" spans="1:15">
      <c r="A61" s="202" t="s">
        <v>225</v>
      </c>
      <c r="B61" s="202" t="s">
        <v>219</v>
      </c>
      <c r="C61" s="207" t="s">
        <v>229</v>
      </c>
      <c r="D61" s="207" t="s">
        <v>229</v>
      </c>
      <c r="E61" s="207" t="s">
        <v>229</v>
      </c>
      <c r="F61" s="93"/>
      <c r="G61" s="207" t="s">
        <v>229</v>
      </c>
      <c r="H61" s="207" t="s">
        <v>126</v>
      </c>
      <c r="I61" s="207" t="s">
        <v>126</v>
      </c>
      <c r="J61" s="207" t="s">
        <v>126</v>
      </c>
      <c r="K61" s="204" t="s">
        <v>126</v>
      </c>
      <c r="L61" s="93" t="s">
        <v>216</v>
      </c>
      <c r="N61" s="246"/>
      <c r="O61" s="212"/>
    </row>
    <row r="62" spans="1:15">
      <c r="A62" s="202" t="s">
        <v>230</v>
      </c>
      <c r="B62" s="93"/>
      <c r="C62" s="207" t="s">
        <v>126</v>
      </c>
      <c r="D62" s="207" t="s">
        <v>126</v>
      </c>
      <c r="E62" s="207" t="s">
        <v>229</v>
      </c>
      <c r="F62" s="93" t="s">
        <v>126</v>
      </c>
      <c r="G62" s="207" t="s">
        <v>229</v>
      </c>
      <c r="H62" s="207" t="s">
        <v>229</v>
      </c>
      <c r="I62" s="207" t="s">
        <v>229</v>
      </c>
      <c r="J62" s="207" t="s">
        <v>229</v>
      </c>
      <c r="K62" s="204"/>
      <c r="L62" s="207" t="s">
        <v>229</v>
      </c>
      <c r="N62" s="246"/>
      <c r="O62" s="212"/>
    </row>
    <row r="63" spans="1:15">
      <c r="A63" s="209" t="s">
        <v>231</v>
      </c>
      <c r="B63" s="97"/>
      <c r="C63" s="210" t="s">
        <v>229</v>
      </c>
      <c r="D63" s="210" t="s">
        <v>229</v>
      </c>
      <c r="E63" s="210" t="s">
        <v>229</v>
      </c>
      <c r="F63" s="97"/>
      <c r="G63" s="210" t="s">
        <v>229</v>
      </c>
      <c r="H63" s="210" t="s">
        <v>126</v>
      </c>
      <c r="I63" s="210" t="s">
        <v>126</v>
      </c>
      <c r="J63" s="210" t="s">
        <v>126</v>
      </c>
      <c r="K63" s="211" t="s">
        <v>126</v>
      </c>
      <c r="L63" s="97" t="s">
        <v>216</v>
      </c>
      <c r="N63" s="246"/>
      <c r="O63" s="212"/>
    </row>
    <row r="64" spans="1:15">
      <c r="N64" s="246"/>
      <c r="O64" s="93"/>
    </row>
    <row r="65" spans="14:15">
      <c r="N65" s="246"/>
      <c r="O65" s="202"/>
    </row>
  </sheetData>
  <mergeCells count="8">
    <mergeCell ref="N52:N58"/>
    <mergeCell ref="N59:N65"/>
    <mergeCell ref="A1:H1"/>
    <mergeCell ref="H3:H7"/>
    <mergeCell ref="A12:F12"/>
    <mergeCell ref="A25:L25"/>
    <mergeCell ref="C48:G48"/>
    <mergeCell ref="H48:L4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77AF961EC15B4C9878FA2CB0E32A6A" ma:contentTypeVersion="12" ma:contentTypeDescription="Create a new document." ma:contentTypeScope="" ma:versionID="898fe4b386288d9b29f0987261dffa3e">
  <xsd:schema xmlns:xsd="http://www.w3.org/2001/XMLSchema" xmlns:xs="http://www.w3.org/2001/XMLSchema" xmlns:p="http://schemas.microsoft.com/office/2006/metadata/properties" xmlns:ns2="4196cf01-d99b-44b6-85bf-e1c59124b1f6" targetNamespace="http://schemas.microsoft.com/office/2006/metadata/properties" ma:root="true" ma:fieldsID="34100c6937163b00f9a18a490b3b438a" ns2:_="">
    <xsd:import namespace="4196cf01-d99b-44b6-85bf-e1c59124b1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6cf01-d99b-44b6-85bf-e1c59124b1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196cf01-d99b-44b6-85bf-e1c59124b1f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D73F27-837B-4224-9039-6AA79EAD73BD}"/>
</file>

<file path=customXml/itemProps2.xml><?xml version="1.0" encoding="utf-8"?>
<ds:datastoreItem xmlns:ds="http://schemas.openxmlformats.org/officeDocument/2006/customXml" ds:itemID="{8F9A66D5-1C23-4F2A-8707-B9433BC891E3}"/>
</file>

<file path=customXml/itemProps3.xml><?xml version="1.0" encoding="utf-8"?>
<ds:datastoreItem xmlns:ds="http://schemas.openxmlformats.org/officeDocument/2006/customXml" ds:itemID="{2F5956CF-E256-4620-8757-6817978A0E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McBride, Meghan (DFO/MPO)</dc:creator>
  <cp:keywords/>
  <dc:description/>
  <cp:lastModifiedBy>McBride, Meghan (DFO/MPO)</cp:lastModifiedBy>
  <cp:revision/>
  <dcterms:created xsi:type="dcterms:W3CDTF">2026-03-05T17:14:43Z</dcterms:created>
  <dcterms:modified xsi:type="dcterms:W3CDTF">2026-07-14T17:44:40Z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2026-03-05T17:45:22Z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ee37d14c-102c-4f74-8402-b75ea970a47f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  <property fmtid="{D5CDD505-2E9C-101B-9397-08002B2CF9AE}" pid="10" name="ContentTypeId">
    <vt:lpwstr>0x010100B077AF961EC15B4C9878FA2CB0E32A6A</vt:lpwstr>
  </property>
  <property fmtid="{D5CDD505-2E9C-101B-9397-08002B2CF9AE}" pid="11" name="MediaServiceImageTags">
    <vt:lpwstr/>
  </property>
</Properties>
</file>