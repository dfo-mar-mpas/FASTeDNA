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traction Optimization" sheetId="1" r:id="rId4"/>
    <sheet state="visible" name="Ext_R" sheetId="2" r:id="rId5"/>
    <sheet state="visible" name="Mobile vs Lab" sheetId="3" r:id="rId6"/>
    <sheet state="visible" name="QPCR_R" sheetId="4" r:id="rId7"/>
    <sheet state="visible" name="Steep vs water samples " sheetId="5" r:id="rId8"/>
    <sheet state="visible" name="eDNA and Assay Stability" sheetId="6" r:id="rId9"/>
    <sheet state="visible" name="Field Trial" sheetId="7" r:id="rId10"/>
    <sheet state="visible" name="Inter-lab" sheetId="8" r:id="rId11"/>
    <sheet state="visible" name="User Experience Trials" sheetId="9" r:id="rId12"/>
  </sheets>
  <definedNames>
    <definedName hidden="1" localSheetId="1" name="_xlnm._FilterDatabase">Ext_R!$B$2:$AI$21</definedName>
  </definedNames>
  <calcPr/>
  <extLst>
    <ext uri="GoogleSheetsCustomDataVersion2">
      <go:sheetsCustomData xmlns:go="http://customooxmlschemas.google.com/" r:id="rId13" roundtripDataChecksum="aVIRDNfKckn/MODV1/jFIMgZ32dDzNPo5waDH6txz6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7">
      <text>
        <t xml:space="preserve">======
ID#AAACGKpMDAw
tc={EC315A10-0B38-4DF5-B13C-7EADB8FBECE2}    (2026-08-28 18:39:46)
[Threaded comment]
Your version of Excel allows you to read this threaded comment; however, any edits to it will get removed if the file is opened in a newer version of Excel. Learn more: https://go.microsoft.com/fwlink/?linkid=870924
Comment:
    Don't use these steep samples, as I am not making any notes in my MS about these samples.</t>
      </text>
    </comment>
  </commentList>
  <extLst>
    <ext uri="GoogleSheetsCustomDataVersion2">
      <go:sheetsCustomData xmlns:go="http://customooxmlschemas.google.com/" r:id="rId1" roundtripDataSignature="AMtx7mi1gCm7P+P0R+cpy2mR42jhxd107A=="/>
    </ext>
  </extLst>
</comments>
</file>

<file path=xl/sharedStrings.xml><?xml version="1.0" encoding="utf-8"?>
<sst xmlns="http://schemas.openxmlformats.org/spreadsheetml/2006/main" count="1625" uniqueCount="361">
  <si>
    <t>Sample ID</t>
  </si>
  <si>
    <t>Field replicate</t>
  </si>
  <si>
    <t>Type</t>
  </si>
  <si>
    <t>Sample Location</t>
  </si>
  <si>
    <t>Filter Preservation</t>
  </si>
  <si>
    <t>Volume Filtered (L)</t>
  </si>
  <si>
    <t>Sample (Field) Notes</t>
  </si>
  <si>
    <t>DNA Concentration</t>
  </si>
  <si>
    <t>Cq_1</t>
  </si>
  <si>
    <t>Cq_2</t>
  </si>
  <si>
    <t>Cq_3</t>
  </si>
  <si>
    <t>Cq_Mean</t>
  </si>
  <si>
    <t>Cq_SD</t>
  </si>
  <si>
    <t>Quantity_1</t>
  </si>
  <si>
    <t>Quantity_2</t>
  </si>
  <si>
    <t>Quantity_3</t>
  </si>
  <si>
    <t>A</t>
  </si>
  <si>
    <t>Sambro</t>
  </si>
  <si>
    <t>Ethanol</t>
  </si>
  <si>
    <t>DNeasyLab Protocol - 24 hr digest</t>
  </si>
  <si>
    <t>B</t>
  </si>
  <si>
    <t>C</t>
  </si>
  <si>
    <t>Blank</t>
  </si>
  <si>
    <t>control filter has some debris</t>
  </si>
  <si>
    <t>DNeasyLab Protocol - 2 hr digest</t>
  </si>
  <si>
    <t>882-ENEG-1</t>
  </si>
  <si>
    <t>ENEG</t>
  </si>
  <si>
    <t>NOAMP</t>
  </si>
  <si>
    <t>DNeasyLab Protocol - 1 hr digest</t>
  </si>
  <si>
    <t>debris on filter</t>
  </si>
  <si>
    <t>Removed from Manuscript as it is not neccessary - although important</t>
  </si>
  <si>
    <t>882-ENEG-2</t>
  </si>
  <si>
    <t>B. schlosseri</t>
  </si>
  <si>
    <t>C. intestinalis</t>
  </si>
  <si>
    <t>B. violaceus</t>
  </si>
  <si>
    <t>DNeasyLab Protocol - 30 min digest</t>
  </si>
  <si>
    <t>REPLICATE</t>
  </si>
  <si>
    <t>ExtraCqion ID</t>
  </si>
  <si>
    <t>ExtraCqion Protocol</t>
  </si>
  <si>
    <t>re-control for 44662 (which had fallen on the dock)</t>
  </si>
  <si>
    <t>882-ENEG-3</t>
  </si>
  <si>
    <t>TUBES862</t>
  </si>
  <si>
    <t>DNeasyLab Protocol</t>
  </si>
  <si>
    <t>DNeasyLab Protocol - 15 min digest</t>
  </si>
  <si>
    <t>Data struCqure</t>
  </si>
  <si>
    <t>100% Steeped samples; after ~ 30 minutes</t>
  </si>
  <si>
    <t>50% Steeped samples; after ~ 10 minutes</t>
  </si>
  <si>
    <t>10% Steeped samples; after ~&lt;5 minutes</t>
  </si>
  <si>
    <t>non-Steeped samples; Filtered sea water (SW) 100%</t>
  </si>
  <si>
    <t>B. Schlosseri</t>
  </si>
  <si>
    <t>C. Intestinalis</t>
  </si>
  <si>
    <t>Cq mean</t>
  </si>
  <si>
    <t>Sambro Water Samples</t>
  </si>
  <si>
    <t>Sambro Steeped Samples</t>
  </si>
  <si>
    <t>44673 - 100%</t>
  </si>
  <si>
    <t>44674 - 50%</t>
  </si>
  <si>
    <t>44675 - 10%</t>
  </si>
  <si>
    <t>Performance</t>
  </si>
  <si>
    <t>QuantStudio 7 Flex</t>
  </si>
  <si>
    <t>Liberty 16</t>
  </si>
  <si>
    <t xml:space="preserve">Liberty 16 </t>
  </si>
  <si>
    <t>Abs Cq diff (Quant vs Liberty)</t>
  </si>
  <si>
    <t>--</t>
  </si>
  <si>
    <t>B. schlosseri QS7</t>
  </si>
  <si>
    <t>B. schlosseri Liberty 16</t>
  </si>
  <si>
    <t>C. intestinalis QS7</t>
  </si>
  <si>
    <t>C. intestinalis Liberty 16</t>
  </si>
  <si>
    <t>Sensitivity</t>
  </si>
  <si>
    <t>Liberty16</t>
  </si>
  <si>
    <t>DNA type</t>
  </si>
  <si>
    <t>STD (cp/uL)</t>
  </si>
  <si>
    <t>Total DNA (cp/rxn)</t>
  </si>
  <si>
    <t>Cq_4</t>
  </si>
  <si>
    <t>Cq_5</t>
  </si>
  <si>
    <t>Cq_6</t>
  </si>
  <si>
    <t>Cq_7</t>
  </si>
  <si>
    <t>Cq_8</t>
  </si>
  <si>
    <t>Cq_9</t>
  </si>
  <si>
    <t>Cq_10</t>
  </si>
  <si>
    <t>Cq_11</t>
  </si>
  <si>
    <t>Cq_12</t>
  </si>
  <si>
    <t>Cq_13</t>
  </si>
  <si>
    <t>Cq_14</t>
  </si>
  <si>
    <t>Cq_15</t>
  </si>
  <si>
    <t>Cq_16</t>
  </si>
  <si>
    <t># AMP</t>
  </si>
  <si>
    <t># NO AMP</t>
  </si>
  <si>
    <t>% amp</t>
  </si>
  <si>
    <t>LOD 95</t>
  </si>
  <si>
    <t>B. schlosseri COI gBlock</t>
  </si>
  <si>
    <t>C. intestinalis COI gBlock</t>
  </si>
  <si>
    <t>NA</t>
  </si>
  <si>
    <t>Test condition</t>
  </si>
  <si>
    <t>13*</t>
  </si>
  <si>
    <t>2*</t>
  </si>
  <si>
    <t>DNeasyLab Protocol - O/N hr digest</t>
  </si>
  <si>
    <t>Sample</t>
  </si>
  <si>
    <t>Time period (Months)</t>
  </si>
  <si>
    <t>B-06</t>
  </si>
  <si>
    <t>B-11</t>
  </si>
  <si>
    <t>B-16</t>
  </si>
  <si>
    <t>B-21</t>
  </si>
  <si>
    <t>B-30</t>
  </si>
  <si>
    <t>* amplification curve doesn't look normal and Cq value much lower than other replicates</t>
  </si>
  <si>
    <t>0 Months</t>
  </si>
  <si>
    <t>QS7</t>
  </si>
  <si>
    <t>3 Months</t>
  </si>
  <si>
    <t>Zebra Mussel</t>
  </si>
  <si>
    <t>Run Name: Atlantic Wolfish_2025_06_19_0814</t>
  </si>
  <si>
    <t>Target Assay Name</t>
  </si>
  <si>
    <t xml:space="preserve">Row 1                              </t>
  </si>
  <si>
    <t>Row 2</t>
  </si>
  <si>
    <t>Anticipated Cq values</t>
  </si>
  <si>
    <t>Std 10^1</t>
  </si>
  <si>
    <t>Atl. Wolfish</t>
  </si>
  <si>
    <t>Std 10^2</t>
  </si>
  <si>
    <t>Std 10^3</t>
  </si>
  <si>
    <t>Std 10^4</t>
  </si>
  <si>
    <t>Std 10^5</t>
  </si>
  <si>
    <t>Std 10^6</t>
  </si>
  <si>
    <t>Std 10^7</t>
  </si>
  <si>
    <t>Std 10^8</t>
  </si>
  <si>
    <t>Hours at Room Temp</t>
  </si>
  <si>
    <t>Cq Mean</t>
  </si>
  <si>
    <t xml:space="preserve">Cq_SD </t>
  </si>
  <si>
    <t>Hull eDNA 015</t>
  </si>
  <si>
    <t>ExtraCqion Form</t>
  </si>
  <si>
    <t>Note: The stress test was conduCqed on the Perley during medium ocean conditions. The Perley is notorious for being unstable.</t>
  </si>
  <si>
    <t>Site</t>
  </si>
  <si>
    <t>Hull eDNA 017</t>
  </si>
  <si>
    <t>Filter Half (A or B)</t>
  </si>
  <si>
    <t>Sample Type (e.g., Replicate, Field Blank or ExtraCqion negative)</t>
  </si>
  <si>
    <t>In-field or Lab</t>
  </si>
  <si>
    <t>ExtraCqion Date</t>
  </si>
  <si>
    <t>Personnel</t>
  </si>
  <si>
    <t>Weather Conditions (e.g., windy, sun, temperature, humidity, etc.)</t>
  </si>
  <si>
    <t>BIO - Floating Dock</t>
  </si>
  <si>
    <t>RA A</t>
  </si>
  <si>
    <t>Replicate</t>
  </si>
  <si>
    <t>In-field</t>
  </si>
  <si>
    <t>11-OCq-24</t>
  </si>
  <si>
    <t>Hull eDNA 019</t>
  </si>
  <si>
    <t>Evan Cronmiller</t>
  </si>
  <si>
    <r>
      <rPr>
        <rFont val="Aptos Narrow"/>
        <color rgb="FF000000"/>
        <sz val="11.0"/>
      </rPr>
      <t>Sunny with scattered showers and clouds. Temp was 9</t>
    </r>
    <r>
      <rPr>
        <rFont val="Calibri"/>
        <color rgb="FF000000"/>
        <sz val="11.0"/>
      </rPr>
      <t>°</t>
    </r>
    <r>
      <rPr>
        <rFont val="Aptos Narrow"/>
        <color rgb="FF000000"/>
        <sz val="11.0"/>
      </rPr>
      <t xml:space="preserve">C. Wind NNW 30 gust 50 kph. </t>
    </r>
  </si>
  <si>
    <t>RB A</t>
  </si>
  <si>
    <t>0hr RT</t>
  </si>
  <si>
    <t>RC A</t>
  </si>
  <si>
    <t>24hr RT</t>
  </si>
  <si>
    <t>C A</t>
  </si>
  <si>
    <t>Field Blank</t>
  </si>
  <si>
    <t>ExtraCqion Negative</t>
  </si>
  <si>
    <t>48hr RT</t>
  </si>
  <si>
    <t>Cq value  Replicate 1</t>
  </si>
  <si>
    <t>Cq value  Replicate 2</t>
  </si>
  <si>
    <t>Cq value  Replicate 3</t>
  </si>
  <si>
    <t>IPC Checked (Yes/No)</t>
  </si>
  <si>
    <t>Std 8</t>
  </si>
  <si>
    <t>No</t>
  </si>
  <si>
    <t>Std 1</t>
  </si>
  <si>
    <t>RA_A</t>
  </si>
  <si>
    <t>RB_A</t>
  </si>
  <si>
    <t>Field ENEG</t>
  </si>
  <si>
    <t>C_A (Field Blank)</t>
  </si>
  <si>
    <t>NTC</t>
  </si>
  <si>
    <t>QuantStudio 7</t>
  </si>
  <si>
    <t>Filter</t>
  </si>
  <si>
    <t>ABL Sample ID</t>
  </si>
  <si>
    <t>Field or Lab extraCqion</t>
  </si>
  <si>
    <t>DNA concentration (ng/uL)</t>
  </si>
  <si>
    <t>IPC result, inhibition?</t>
  </si>
  <si>
    <t>B_01_Control</t>
  </si>
  <si>
    <t>Field Blank - A</t>
  </si>
  <si>
    <t>Steep Rock</t>
  </si>
  <si>
    <t>Std 5</t>
  </si>
  <si>
    <t>0.5 GF filter</t>
  </si>
  <si>
    <t>dessicant in coin envelope</t>
  </si>
  <si>
    <t>1L</t>
  </si>
  <si>
    <t>DNeasyLab Protocol - 3 hr digest</t>
  </si>
  <si>
    <t>Std 4</t>
  </si>
  <si>
    <t>Std 3</t>
  </si>
  <si>
    <t>N</t>
  </si>
  <si>
    <t>B_06</t>
  </si>
  <si>
    <t>Std 2</t>
  </si>
  <si>
    <t>Sample - A</t>
  </si>
  <si>
    <t>Std 0</t>
  </si>
  <si>
    <t>B_11</t>
  </si>
  <si>
    <t>Field</t>
  </si>
  <si>
    <t>Yes</t>
  </si>
  <si>
    <t>T4</t>
  </si>
  <si>
    <t>B_16</t>
  </si>
  <si>
    <t>RA_B</t>
  </si>
  <si>
    <t>Lab</t>
  </si>
  <si>
    <t>B_21</t>
  </si>
  <si>
    <t>RB_B</t>
  </si>
  <si>
    <t>B_30</t>
  </si>
  <si>
    <t>RC_A</t>
  </si>
  <si>
    <t>RC_B</t>
  </si>
  <si>
    <t>C_A</t>
  </si>
  <si>
    <t>Field Blank - B</t>
  </si>
  <si>
    <t>Sample - B</t>
  </si>
  <si>
    <t>B-06-1hr</t>
  </si>
  <si>
    <t>C_B (Field_Control_B)</t>
  </si>
  <si>
    <t>B-11-30min</t>
  </si>
  <si>
    <t>Lab ENEG (920-ENEG-1)</t>
  </si>
  <si>
    <t>B-16-30min</t>
  </si>
  <si>
    <t>B-21-15min</t>
  </si>
  <si>
    <t>B-30-15min</t>
  </si>
  <si>
    <t>Field - Liberty 16</t>
  </si>
  <si>
    <t>Lab - QuantStudio 7 Flex</t>
  </si>
  <si>
    <t>B. Schlosseri - Medium</t>
  </si>
  <si>
    <t xml:space="preserve">24 hrs </t>
  </si>
  <si>
    <t>3 hrs</t>
  </si>
  <si>
    <t>1 hr</t>
  </si>
  <si>
    <t>0.5 hr</t>
  </si>
  <si>
    <t>0.25 hr</t>
  </si>
  <si>
    <t>------</t>
  </si>
  <si>
    <t>Field - NTC</t>
  </si>
  <si>
    <t>Lab - NTC</t>
  </si>
  <si>
    <t>C. intestinalis - high</t>
  </si>
  <si>
    <t>2 hrs</t>
  </si>
  <si>
    <t>B. violaceus - low</t>
  </si>
  <si>
    <t>24 hrs</t>
  </si>
  <si>
    <t>Zebra Mussel - Very Low</t>
  </si>
  <si>
    <t>B_06A</t>
  </si>
  <si>
    <t>B_11A</t>
  </si>
  <si>
    <t>B_16A</t>
  </si>
  <si>
    <t>B_21A</t>
  </si>
  <si>
    <t>B_30A</t>
  </si>
  <si>
    <t>B_06B</t>
  </si>
  <si>
    <t>B_11B</t>
  </si>
  <si>
    <t>B_16B</t>
  </si>
  <si>
    <t>B_21B</t>
  </si>
  <si>
    <t>B_30B</t>
  </si>
  <si>
    <t>3 hr</t>
  </si>
  <si>
    <t>Full Field Test to assess and validate the extraCqion qPCR protocol for mid-level abundance deteCqion, in this case ZM.</t>
  </si>
  <si>
    <t>C-21_230920</t>
  </si>
  <si>
    <t>Narrows</t>
  </si>
  <si>
    <t>TUBES880</t>
  </si>
  <si>
    <t>C-26_230920</t>
  </si>
  <si>
    <t>C-01_230920</t>
  </si>
  <si>
    <t>too low</t>
  </si>
  <si>
    <t>pS7</t>
  </si>
  <si>
    <t>Standard (10 cp/rxn)</t>
  </si>
  <si>
    <t>pS8</t>
  </si>
  <si>
    <t>Standard (2 cp/rxn)</t>
  </si>
  <si>
    <t> </t>
  </si>
  <si>
    <t xml:space="preserve">Field ExtraCqion Form </t>
  </si>
  <si>
    <t>Protocol Type: Field or Lab</t>
  </si>
  <si>
    <t>Notes</t>
  </si>
  <si>
    <t>Fish Lab Tank Room</t>
  </si>
  <si>
    <t>C_21</t>
  </si>
  <si>
    <t>N/A</t>
  </si>
  <si>
    <t>C-26</t>
  </si>
  <si>
    <t>C-01</t>
  </si>
  <si>
    <t>DRES16</t>
  </si>
  <si>
    <t>-----</t>
  </si>
  <si>
    <t>Field Protocol</t>
  </si>
  <si>
    <t>ABL - ZM Lab Protocol (Singleplex)</t>
  </si>
  <si>
    <t>ABL - ZM Lab Protocol (Duplex (DRE+IPC))</t>
  </si>
  <si>
    <t>Lab Verification - QS7</t>
  </si>
  <si>
    <t>Sample Type</t>
  </si>
  <si>
    <t>Field or Lab ExtraCqion</t>
  </si>
  <si>
    <t>Cq value Replicate 1</t>
  </si>
  <si>
    <t>Cq value Replicate 2</t>
  </si>
  <si>
    <t>Cq value Replicate 3</t>
  </si>
  <si>
    <t>No Lab Experience</t>
  </si>
  <si>
    <t>AIS-4480A</t>
  </si>
  <si>
    <t>STD</t>
  </si>
  <si>
    <t>AIS-4480B</t>
  </si>
  <si>
    <t>AIS-4481A</t>
  </si>
  <si>
    <t>AIS-4481B</t>
  </si>
  <si>
    <t>25.8*</t>
  </si>
  <si>
    <t>For Cq value replicate 2 - I thought I saw Lyla put 3 uL of DNA twice and based on the Cq value this conclude that, that was the case.</t>
  </si>
  <si>
    <t>AIS-4483A (Field Blank)</t>
  </si>
  <si>
    <t>Mean Cq Values</t>
  </si>
  <si>
    <t>AIS-4483B (Field Blank)</t>
  </si>
  <si>
    <t>Field Procotol</t>
  </si>
  <si>
    <t>ZM Lab Protocol (Singleplex)</t>
  </si>
  <si>
    <t>ZM Lab Protocol (Duplex)</t>
  </si>
  <si>
    <t>ABL</t>
  </si>
  <si>
    <t>Lab ENEG - TUBE 936</t>
  </si>
  <si>
    <t>FWI</t>
  </si>
  <si>
    <t>AIS-4492A</t>
  </si>
  <si>
    <t>GFC</t>
  </si>
  <si>
    <t>AIS-4492B</t>
  </si>
  <si>
    <t>GQC</t>
  </si>
  <si>
    <t>AIS-4493A</t>
  </si>
  <si>
    <t>IML</t>
  </si>
  <si>
    <t>AIS-4493B</t>
  </si>
  <si>
    <t>Mean Cq (Singleplex)</t>
  </si>
  <si>
    <t>AIS-4494A</t>
  </si>
  <si>
    <t>Mean Cq (Duplex)</t>
  </si>
  <si>
    <t>Mean Cq (Field)</t>
  </si>
  <si>
    <t>AIS-4494B</t>
  </si>
  <si>
    <t>AIS-4495A (Field Blank)</t>
  </si>
  <si>
    <t>Zm Lab Protocol</t>
  </si>
  <si>
    <t>AIS-4495B (Field Blank)</t>
  </si>
  <si>
    <t>Mistakenly grabbed the sample replicate and ran on the qPCR instead of the Field Blank in the Field</t>
  </si>
  <si>
    <t>Non-Molecular Lab Experience</t>
  </si>
  <si>
    <t>AIS-4484A</t>
  </si>
  <si>
    <t>AIS-4484B</t>
  </si>
  <si>
    <t>AIS-4485A</t>
  </si>
  <si>
    <t>AIS-4485B</t>
  </si>
  <si>
    <t>AIS-4487A (Field Blank)</t>
  </si>
  <si>
    <t>AIS-4487B (Field Blank)</t>
  </si>
  <si>
    <t>AIS-4476A</t>
  </si>
  <si>
    <t>AIS-4476B</t>
  </si>
  <si>
    <t>AIS-4477A</t>
  </si>
  <si>
    <t>AIS-4477B</t>
  </si>
  <si>
    <t>AIS-4479A (Field Blank)</t>
  </si>
  <si>
    <t>I dropped filter half A on the floor when I was trying to put it into the tube. This explains the contamination on this half of the filter.</t>
  </si>
  <si>
    <t>AIS-4479B (Field Blank)</t>
  </si>
  <si>
    <t>Previous Molecular Lab Experience</t>
  </si>
  <si>
    <t>AIS-4488A</t>
  </si>
  <si>
    <t>AIS-4488B</t>
  </si>
  <si>
    <t>AIS-4489A</t>
  </si>
  <si>
    <t>AIS-4489B</t>
  </si>
  <si>
    <t>AIS-4491A (Field Blank)</t>
  </si>
  <si>
    <t>AIS-4491B (Field Blank)</t>
  </si>
  <si>
    <t>Molecular Lab Experts</t>
  </si>
  <si>
    <t>AIS-4500A</t>
  </si>
  <si>
    <t>AIS-4500B</t>
  </si>
  <si>
    <t>AIS-4501A</t>
  </si>
  <si>
    <t>AIS-4501B</t>
  </si>
  <si>
    <t>AIS-4503A (Field Blank)</t>
  </si>
  <si>
    <t>AIS-4503B (Field Blank)</t>
  </si>
  <si>
    <t>AIS-4472A</t>
  </si>
  <si>
    <t>AIS-4472B</t>
  </si>
  <si>
    <t>AIS-4473A</t>
  </si>
  <si>
    <t>AIS-4473B</t>
  </si>
  <si>
    <t>AIS-4475A (Field Blank)</t>
  </si>
  <si>
    <t>AIS-4475B (Field Blank)</t>
  </si>
  <si>
    <t>*Lab ENEG - TUBE926</t>
  </si>
  <si>
    <t>Got mixed with the Field Blank, which apparently was contaminated with some level of DNA based on the Field extraCqion.</t>
  </si>
  <si>
    <t>condensed summary</t>
  </si>
  <si>
    <t>Field Protocol (FASTeDNA)</t>
  </si>
  <si>
    <t>Lab Verification</t>
  </si>
  <si>
    <t>User Experience</t>
  </si>
  <si>
    <t>AIS-4480</t>
  </si>
  <si>
    <t>AIS-4481</t>
  </si>
  <si>
    <t>AIS-4483</t>
  </si>
  <si>
    <t>AIS-4492</t>
  </si>
  <si>
    <t>AIS-4493</t>
  </si>
  <si>
    <t>AIS-4494</t>
  </si>
  <si>
    <t>AIS-4495**</t>
  </si>
  <si>
    <t>AIS-4476</t>
  </si>
  <si>
    <t>AIS-4477</t>
  </si>
  <si>
    <t>AIS-4479***</t>
  </si>
  <si>
    <t>AIS-4484</t>
  </si>
  <si>
    <t>AIS-4485</t>
  </si>
  <si>
    <t>AIS-4487</t>
  </si>
  <si>
    <t>AIS-4488</t>
  </si>
  <si>
    <t>AIS-4489</t>
  </si>
  <si>
    <t>AIS-4491</t>
  </si>
  <si>
    <t>AIS-4472</t>
  </si>
  <si>
    <t>AIS-4473</t>
  </si>
  <si>
    <t>AIS-4475</t>
  </si>
  <si>
    <t>AIS-4500</t>
  </si>
  <si>
    <t>AIS-4501</t>
  </si>
  <si>
    <t>AIS-4503</t>
  </si>
  <si>
    <t>* DNA added twice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</si>
</sst>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"/>
    <numFmt numFmtId="165" formatCode="#,##0.000"/>
    <numFmt numFmtId="166" formatCode="#,##0.0"/>
    <numFmt numFmtId="167" formatCode="0.0"/>
  </numFmts>
  <fonts count="25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sz val="11.0"/>
      <color rgb="FF0F4861"/>
      <name val="Aptos Narrow"/>
    </font>
    <font>
      <b/>
      <i/>
      <sz val="11.0"/>
      <color theme="1"/>
      <name val="Aptos Narrow"/>
    </font>
    <font/>
    <font>
      <b/>
      <sz val="11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Arial"/>
    </font>
    <font>
      <color theme="1"/>
      <name val="Arial"/>
    </font>
    <font>
      <b/>
      <sz val="11.0"/>
      <color rgb="FF000000"/>
      <name val="Aptos Narrow"/>
    </font>
    <font>
      <sz val="11.0"/>
      <color rgb="FF000000"/>
      <name val="Aptos Narrow"/>
    </font>
    <font>
      <b/>
      <sz val="16.0"/>
      <color rgb="FF000000"/>
      <name val="Aptos Narrow"/>
    </font>
    <font>
      <sz val="10.0"/>
      <color theme="1"/>
      <name val="Arial"/>
    </font>
    <font>
      <sz val="10.0"/>
      <color theme="1"/>
      <name val="Aptos Narrow"/>
    </font>
    <font>
      <b/>
      <sz val="14.0"/>
      <color rgb="FF000000"/>
      <name val="Calibri"/>
    </font>
    <font>
      <sz val="11.0"/>
      <color theme="1"/>
      <name val="Calibri"/>
    </font>
    <font>
      <sz val="10.0"/>
      <color rgb="FF000000"/>
      <name val="Arial"/>
    </font>
    <font>
      <b/>
      <sz val="16.0"/>
      <color rgb="FF000000"/>
      <name val="Calibri"/>
    </font>
    <font>
      <sz val="11.0"/>
      <color rgb="FF006100"/>
      <name val="Calibri"/>
    </font>
    <font>
      <sz val="11.0"/>
      <color rgb="FF9C0006"/>
      <name val="Calibri"/>
    </font>
    <font>
      <sz val="11.0"/>
      <color rgb="FF9C57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FAE2D5"/>
        <bgColor rgb="FFFAE2D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57">
    <border/>
    <border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dotted">
        <color rgb="FF000000"/>
      </left>
    </border>
    <border>
      <left style="dotted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dotted">
        <color rgb="FF000000"/>
      </left>
      <bottom style="thin">
        <color rgb="FF000000"/>
      </bottom>
    </border>
    <border>
      <right style="thin">
        <color rgb="FF000000"/>
      </right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</border>
    <border>
      <left style="thin">
        <color rgb="FF999999"/>
      </left>
    </border>
  </borders>
  <cellStyleXfs count="1">
    <xf borderId="0" fillId="0" fontId="0" numFmtId="0" applyAlignment="1" applyFont="1"/>
  </cellStyleXfs>
  <cellXfs count="36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1" fillId="0" fontId="2" numFmtId="0" xfId="0" applyBorder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shrinkToFit="0" wrapText="1"/>
    </xf>
    <xf borderId="3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3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6" fillId="0" fontId="3" numFmtId="2" xfId="0" applyAlignment="1" applyBorder="1" applyFont="1" applyNumberFormat="1">
      <alignment horizontal="center"/>
    </xf>
    <xf borderId="7" fillId="0" fontId="3" numFmtId="2" xfId="0" applyAlignment="1" applyBorder="1" applyFont="1" applyNumberFormat="1">
      <alignment horizontal="center"/>
    </xf>
    <xf borderId="8" fillId="0" fontId="3" numFmtId="2" xfId="0" applyAlignment="1" applyBorder="1" applyFont="1" applyNumberFormat="1">
      <alignment horizontal="center"/>
    </xf>
    <xf borderId="9" fillId="0" fontId="3" numFmtId="2" xfId="0" applyAlignment="1" applyBorder="1" applyFont="1" applyNumberFormat="1">
      <alignment horizontal="center"/>
    </xf>
    <xf borderId="10" fillId="0" fontId="3" numFmtId="0" xfId="0" applyAlignment="1" applyBorder="1" applyFont="1">
      <alignment horizontal="center"/>
    </xf>
    <xf borderId="0" fillId="0" fontId="3" numFmtId="2" xfId="0" applyAlignment="1" applyFont="1" applyNumberFormat="1">
      <alignment horizontal="center"/>
    </xf>
    <xf borderId="11" fillId="0" fontId="3" numFmtId="2" xfId="0" applyAlignment="1" applyBorder="1" applyFont="1" applyNumberFormat="1">
      <alignment horizontal="center"/>
    </xf>
    <xf borderId="10" fillId="0" fontId="3" numFmtId="164" xfId="0" applyBorder="1" applyFont="1" applyNumberFormat="1"/>
    <xf borderId="0" fillId="0" fontId="3" numFmtId="164" xfId="0" applyFont="1" applyNumberFormat="1"/>
    <xf borderId="11" fillId="0" fontId="3" numFmtId="164" xfId="0" applyBorder="1" applyFont="1" applyNumberFormat="1"/>
    <xf borderId="0" fillId="0" fontId="2" numFmtId="0" xfId="0" applyAlignment="1" applyFont="1">
      <alignment readingOrder="0"/>
    </xf>
    <xf borderId="12" fillId="0" fontId="3" numFmtId="2" xfId="0" applyAlignment="1" applyBorder="1" applyFont="1" applyNumberFormat="1">
      <alignment horizontal="center"/>
    </xf>
    <xf borderId="10" fillId="0" fontId="3" numFmtId="2" xfId="0" applyAlignment="1" applyBorder="1" applyFont="1" applyNumberFormat="1">
      <alignment horizontal="center"/>
    </xf>
    <xf borderId="13" fillId="0" fontId="3" numFmtId="0" xfId="0" applyAlignment="1" applyBorder="1" applyFont="1">
      <alignment horizontal="right"/>
    </xf>
    <xf borderId="13" fillId="0" fontId="3" numFmtId="0" xfId="0" applyAlignment="1" applyBorder="1" applyFont="1">
      <alignment horizontal="center"/>
    </xf>
    <xf borderId="13" fillId="0" fontId="3" numFmtId="0" xfId="0" applyBorder="1" applyFont="1"/>
    <xf borderId="14" fillId="0" fontId="3" numFmtId="2" xfId="0" applyAlignment="1" applyBorder="1" applyFont="1" applyNumberFormat="1">
      <alignment horizontal="center"/>
    </xf>
    <xf borderId="15" fillId="0" fontId="3" numFmtId="2" xfId="0" applyAlignment="1" applyBorder="1" applyFont="1" applyNumberFormat="1">
      <alignment horizontal="center"/>
    </xf>
    <xf borderId="13" fillId="0" fontId="3" numFmtId="2" xfId="0" applyAlignment="1" applyBorder="1" applyFont="1" applyNumberFormat="1">
      <alignment horizontal="center"/>
    </xf>
    <xf borderId="16" fillId="0" fontId="3" numFmtId="2" xfId="0" applyAlignment="1" applyBorder="1" applyFont="1" applyNumberFormat="1">
      <alignment horizontal="center"/>
    </xf>
    <xf borderId="15" fillId="0" fontId="4" numFmtId="0" xfId="0" applyAlignment="1" applyBorder="1" applyFont="1">
      <alignment horizontal="center"/>
    </xf>
    <xf borderId="13" fillId="0" fontId="4" numFmtId="0" xfId="0" applyAlignment="1" applyBorder="1" applyFont="1">
      <alignment horizontal="center"/>
    </xf>
    <xf borderId="13" fillId="0" fontId="4" numFmtId="2" xfId="0" applyAlignment="1" applyBorder="1" applyFont="1" applyNumberFormat="1">
      <alignment horizontal="center"/>
    </xf>
    <xf borderId="16" fillId="0" fontId="4" numFmtId="2" xfId="0" applyAlignment="1" applyBorder="1" applyFont="1" applyNumberFormat="1">
      <alignment horizontal="center"/>
    </xf>
    <xf borderId="15" fillId="0" fontId="4" numFmtId="164" xfId="0" applyBorder="1" applyFont="1" applyNumberFormat="1"/>
    <xf borderId="13" fillId="0" fontId="4" numFmtId="164" xfId="0" applyBorder="1" applyFont="1" applyNumberFormat="1"/>
    <xf borderId="16" fillId="0" fontId="4" numFmtId="164" xfId="0" applyBorder="1" applyFont="1" applyNumberFormat="1"/>
    <xf borderId="1" fillId="0" fontId="3" numFmtId="0" xfId="0" applyAlignment="1" applyBorder="1" applyFont="1">
      <alignment horizontal="right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17" fillId="0" fontId="3" numFmtId="2" xfId="0" applyAlignment="1" applyBorder="1" applyFont="1" applyNumberFormat="1">
      <alignment horizontal="center"/>
    </xf>
    <xf borderId="18" fillId="0" fontId="3" numFmtId="2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center"/>
    </xf>
    <xf borderId="19" fillId="0" fontId="3" numFmtId="2" xfId="0" applyAlignment="1" applyBorder="1" applyFont="1" applyNumberFormat="1">
      <alignment horizontal="center"/>
    </xf>
    <xf borderId="18" fillId="0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5" numFmtId="2" xfId="0" applyAlignment="1" applyBorder="1" applyFont="1" applyNumberFormat="1">
      <alignment horizontal="center"/>
    </xf>
    <xf borderId="19" fillId="0" fontId="5" numFmtId="2" xfId="0" applyAlignment="1" applyBorder="1" applyFont="1" applyNumberFormat="1">
      <alignment horizontal="center"/>
    </xf>
    <xf borderId="18" fillId="0" fontId="4" numFmtId="164" xfId="0" applyBorder="1" applyFont="1" applyNumberFormat="1"/>
    <xf borderId="1" fillId="0" fontId="4" numFmtId="164" xfId="0" applyBorder="1" applyFont="1" applyNumberFormat="1"/>
    <xf borderId="19" fillId="0" fontId="4" numFmtId="164" xfId="0" applyBorder="1" applyFont="1" applyNumberFormat="1"/>
    <xf borderId="13" fillId="0" fontId="2" numFmtId="0" xfId="0" applyAlignment="1" applyBorder="1" applyFont="1">
      <alignment vertical="center"/>
    </xf>
    <xf borderId="0" fillId="0" fontId="6" numFmtId="0" xfId="0" applyAlignment="1" applyFont="1">
      <alignment horizontal="center" readingOrder="0" vertical="center"/>
    </xf>
    <xf borderId="20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7" fillId="0" fontId="3" numFmtId="2" xfId="0" applyAlignment="1" applyBorder="1" applyFont="1" applyNumberFormat="1">
      <alignment horizontal="center" vertical="center"/>
    </xf>
    <xf borderId="20" fillId="0" fontId="3" numFmtId="2" xfId="0" applyAlignment="1" applyBorder="1" applyFont="1" applyNumberFormat="1">
      <alignment horizontal="center" vertical="center"/>
    </xf>
    <xf borderId="21" fillId="0" fontId="7" numFmtId="0" xfId="0" applyBorder="1" applyFont="1"/>
    <xf borderId="10" fillId="0" fontId="3" numFmtId="0" xfId="0" applyAlignment="1" applyBorder="1" applyFont="1">
      <alignment horizontal="center" vertical="center"/>
    </xf>
    <xf borderId="10" fillId="0" fontId="3" numFmtId="2" xfId="0" applyAlignment="1" applyBorder="1" applyFont="1" applyNumberFormat="1">
      <alignment horizontal="center" vertical="center"/>
    </xf>
    <xf borderId="21" fillId="0" fontId="3" numFmtId="2" xfId="0" applyAlignment="1" applyBorder="1" applyFont="1" applyNumberFormat="1">
      <alignment horizontal="center" vertical="center"/>
    </xf>
    <xf borderId="22" fillId="0" fontId="7" numFmtId="0" xfId="0" applyBorder="1" applyFont="1"/>
    <xf borderId="18" fillId="0" fontId="3" numFmtId="0" xfId="0" applyAlignment="1" applyBorder="1" applyFont="1">
      <alignment horizontal="center" vertical="center"/>
    </xf>
    <xf borderId="18" fillId="0" fontId="3" numFmtId="2" xfId="0" applyAlignment="1" applyBorder="1" applyFont="1" applyNumberFormat="1">
      <alignment horizontal="center" vertical="center"/>
    </xf>
    <xf borderId="22" fillId="0" fontId="3" numFmtId="2" xfId="0" applyAlignment="1" applyBorder="1" applyFont="1" applyNumberFormat="1">
      <alignment horizontal="center" vertical="center"/>
    </xf>
    <xf borderId="10" fillId="0" fontId="7" numFmtId="0" xfId="0" applyBorder="1" applyFont="1"/>
    <xf borderId="18" fillId="0" fontId="7" numFmtId="0" xfId="0" applyBorder="1" applyFont="1"/>
    <xf borderId="3" fillId="0" fontId="2" numFmtId="0" xfId="0" applyAlignment="1" applyBorder="1" applyFont="1">
      <alignment horizontal="center"/>
    </xf>
    <xf borderId="4" fillId="0" fontId="7" numFmtId="0" xfId="0" applyBorder="1" applyFont="1"/>
    <xf borderId="5" fillId="0" fontId="7" numFmtId="0" xfId="0" applyBorder="1" applyFont="1"/>
    <xf borderId="3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7" numFmtId="0" xfId="0" applyBorder="1" applyFont="1"/>
    <xf borderId="9" fillId="0" fontId="7" numFmtId="0" xfId="0" applyBorder="1" applyFont="1"/>
    <xf borderId="18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5" fillId="0" fontId="2" numFmtId="0" xfId="0" applyAlignment="1" applyBorder="1" applyFont="1">
      <alignment horizontal="center" readingOrder="0"/>
    </xf>
    <xf borderId="19" fillId="0" fontId="2" numFmtId="0" xfId="0" applyAlignment="1" applyBorder="1" applyFont="1">
      <alignment horizontal="center" readingOrder="0" shrinkToFit="0" wrapText="1"/>
    </xf>
    <xf borderId="7" fillId="0" fontId="3" numFmtId="0" xfId="0" applyAlignment="1" applyBorder="1" applyFont="1">
      <alignment horizontal="right"/>
    </xf>
    <xf borderId="8" fillId="0" fontId="3" numFmtId="0" xfId="0" applyAlignment="1" applyBorder="1" applyFont="1">
      <alignment horizontal="center"/>
    </xf>
    <xf borderId="8" fillId="0" fontId="3" numFmtId="0" xfId="0" applyBorder="1" applyFont="1"/>
    <xf borderId="8" fillId="0" fontId="3" numFmtId="2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11" fillId="0" fontId="3" numFmtId="2" xfId="0" applyAlignment="1" applyBorder="1" applyFont="1" applyNumberFormat="1">
      <alignment horizontal="center" vertical="center"/>
    </xf>
    <xf borderId="10" fillId="0" fontId="3" numFmtId="0" xfId="0" applyAlignment="1" applyBorder="1" applyFont="1">
      <alignment horizontal="right"/>
    </xf>
    <xf borderId="0" fillId="0" fontId="3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23" fillId="0" fontId="3" numFmtId="2" xfId="0" applyAlignment="1" applyBorder="1" applyFont="1" applyNumberFormat="1">
      <alignment horizontal="center" vertical="center"/>
    </xf>
    <xf borderId="24" fillId="0" fontId="3" numFmtId="2" xfId="0" applyAlignment="1" applyBorder="1" applyFont="1" applyNumberFormat="1">
      <alignment horizontal="center" vertical="center"/>
    </xf>
    <xf quotePrefix="1" borderId="24" fillId="0" fontId="3" numFmtId="2" xfId="0" applyAlignment="1" applyBorder="1" applyFont="1" applyNumberFormat="1">
      <alignment horizontal="center" vertical="center"/>
    </xf>
    <xf borderId="24" fillId="0" fontId="3" numFmtId="164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horizontal="right"/>
    </xf>
    <xf borderId="1" fillId="0" fontId="3" numFmtId="2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quotePrefix="1" borderId="25" fillId="0" fontId="3" numFmtId="2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9" fillId="0" fontId="3" numFmtId="2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/>
    </xf>
    <xf borderId="0" fillId="0" fontId="3" numFmtId="2" xfId="0" applyFont="1" applyNumberFormat="1"/>
    <xf borderId="0" fillId="0" fontId="2" numFmtId="0" xfId="0" applyFont="1"/>
    <xf borderId="26" fillId="0" fontId="3" numFmtId="0" xfId="0" applyBorder="1" applyFont="1"/>
    <xf borderId="24" fillId="0" fontId="3" numFmtId="0" xfId="0" applyBorder="1" applyFont="1"/>
    <xf borderId="27" fillId="2" fontId="2" numFmtId="0" xfId="0" applyAlignment="1" applyBorder="1" applyFill="1" applyFont="1">
      <alignment horizontal="center"/>
    </xf>
    <xf borderId="28" fillId="0" fontId="7" numFmtId="0" xfId="0" applyBorder="1" applyFont="1"/>
    <xf borderId="29" fillId="0" fontId="7" numFmtId="0" xfId="0" applyBorder="1" applyFont="1"/>
    <xf borderId="28" fillId="0" fontId="2" numFmtId="0" xfId="0" applyAlignment="1" applyBorder="1" applyFont="1">
      <alignment horizontal="center"/>
    </xf>
    <xf borderId="30" fillId="0" fontId="3" numFmtId="0" xfId="0" applyBorder="1" applyFont="1"/>
    <xf borderId="27" fillId="3" fontId="2" numFmtId="0" xfId="0" applyAlignment="1" applyBorder="1" applyFill="1" applyFont="1">
      <alignment horizontal="center"/>
    </xf>
    <xf borderId="12" fillId="0" fontId="2" numFmtId="0" xfId="0" applyBorder="1" applyFont="1"/>
    <xf borderId="10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2" fillId="0" fontId="2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11" fillId="0" fontId="2" numFmtId="0" xfId="0" applyBorder="1" applyFont="1"/>
    <xf borderId="10" fillId="0" fontId="2" numFmtId="0" xfId="0" applyAlignment="1" applyBorder="1" applyFont="1">
      <alignment horizontal="center"/>
    </xf>
    <xf borderId="12" fillId="0" fontId="3" numFmtId="2" xfId="0" applyBorder="1" applyFont="1" applyNumberFormat="1"/>
    <xf quotePrefix="1" borderId="0" fillId="0" fontId="3" numFmtId="0" xfId="0" applyFont="1"/>
    <xf borderId="0" fillId="0" fontId="3" numFmtId="165" xfId="0" applyFont="1" applyNumberFormat="1"/>
    <xf borderId="13" fillId="0" fontId="3" numFmtId="165" xfId="0" applyBorder="1" applyFont="1" applyNumberFormat="1"/>
    <xf borderId="13" fillId="0" fontId="3" numFmtId="2" xfId="0" applyBorder="1" applyFont="1" applyNumberFormat="1"/>
    <xf quotePrefix="1" borderId="13" fillId="0" fontId="3" numFmtId="0" xfId="0" applyBorder="1" applyFont="1"/>
    <xf borderId="0" fillId="0" fontId="3" numFmtId="1" xfId="0" applyAlignment="1" applyFont="1" applyNumberFormat="1">
      <alignment horizontal="center"/>
    </xf>
    <xf borderId="11" fillId="0" fontId="3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7" fillId="0" fontId="2" numFmtId="0" xfId="0" applyAlignment="1" applyBorder="1" applyFont="1">
      <alignment shrinkToFit="0" wrapText="1"/>
    </xf>
    <xf borderId="10" fillId="0" fontId="3" numFmtId="2" xfId="0" applyBorder="1" applyFont="1" applyNumberFormat="1"/>
    <xf borderId="11" fillId="0" fontId="3" numFmtId="2" xfId="0" applyBorder="1" applyFont="1" applyNumberFormat="1"/>
    <xf borderId="1" fillId="0" fontId="3" numFmtId="1" xfId="0" applyAlignment="1" applyBorder="1" applyFont="1" applyNumberFormat="1">
      <alignment horizontal="center"/>
    </xf>
    <xf borderId="19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0" fillId="0" fontId="9" numFmtId="0" xfId="0" applyAlignment="1" applyFont="1">
      <alignment horizontal="center" readingOrder="1" shrinkToFit="0" vertical="center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8" fillId="0" fontId="10" numFmtId="0" xfId="0" applyAlignment="1" applyBorder="1" applyFont="1">
      <alignment horizontal="center" readingOrder="1" shrinkToFit="0" vertical="center" wrapText="1"/>
    </xf>
    <xf borderId="10" fillId="0" fontId="4" numFmtId="2" xfId="0" applyAlignment="1" applyBorder="1" applyFont="1" applyNumberFormat="1">
      <alignment horizontal="center"/>
    </xf>
    <xf borderId="0" fillId="0" fontId="4" numFmtId="2" xfId="0" applyAlignment="1" applyFont="1" applyNumberFormat="1">
      <alignment horizontal="center"/>
    </xf>
    <xf borderId="8" fillId="0" fontId="10" numFmtId="0" xfId="0" applyAlignment="1" applyBorder="1" applyFont="1">
      <alignment horizontal="left" readingOrder="1" shrinkToFit="0" vertical="center" wrapText="1"/>
    </xf>
    <xf borderId="11" fillId="0" fontId="4" numFmtId="2" xfId="0" applyAlignment="1" applyBorder="1" applyFont="1" applyNumberFormat="1">
      <alignment horizontal="center"/>
    </xf>
    <xf borderId="0" fillId="0" fontId="10" numFmtId="0" xfId="0" applyAlignment="1" applyFont="1">
      <alignment horizontal="left" readingOrder="1" shrinkToFit="0" vertical="center" wrapText="1"/>
    </xf>
    <xf borderId="10" fillId="0" fontId="4" numFmtId="2" xfId="0" applyBorder="1" applyFont="1" applyNumberFormat="1"/>
    <xf borderId="0" fillId="0" fontId="4" numFmtId="2" xfId="0" applyFont="1" applyNumberFormat="1"/>
    <xf borderId="0" fillId="0" fontId="3" numFmtId="0" xfId="0" applyAlignment="1" applyFont="1">
      <alignment horizontal="center" readingOrder="0" vertical="top"/>
    </xf>
    <xf borderId="11" fillId="0" fontId="4" numFmtId="2" xfId="0" applyBorder="1" applyFont="1" applyNumberFormat="1"/>
    <xf borderId="8" fillId="0" fontId="3" numFmtId="0" xfId="0" applyAlignment="1" applyBorder="1" applyFont="1">
      <alignment horizontal="right"/>
    </xf>
    <xf borderId="8" fillId="0" fontId="11" numFmtId="0" xfId="0" applyAlignment="1" applyBorder="1" applyFont="1">
      <alignment readingOrder="0"/>
    </xf>
    <xf borderId="0" fillId="0" fontId="10" numFmtId="0" xfId="0" applyAlignment="1" applyFont="1">
      <alignment horizontal="center" readingOrder="1" shrinkToFit="0" vertical="center" wrapText="1"/>
    </xf>
    <xf borderId="1" fillId="0" fontId="7" numFmtId="0" xfId="0" applyBorder="1" applyFont="1"/>
    <xf borderId="0" fillId="0" fontId="3" numFmtId="165" xfId="0" applyAlignment="1" applyFont="1" applyNumberFormat="1">
      <alignment horizontal="center"/>
    </xf>
    <xf borderId="7" fillId="0" fontId="2" numFmtId="0" xfId="0" applyAlignment="1" applyBorder="1" applyFont="1">
      <alignment horizontal="left"/>
    </xf>
    <xf borderId="0" fillId="0" fontId="12" numFmtId="0" xfId="0" applyAlignment="1" applyFont="1">
      <alignment readingOrder="0"/>
    </xf>
    <xf borderId="7" fillId="0" fontId="13" numFmtId="0" xfId="0" applyBorder="1" applyFont="1"/>
    <xf borderId="8" fillId="0" fontId="13" numFmtId="0" xfId="0" applyAlignment="1" applyBorder="1" applyFont="1">
      <alignment horizontal="center" shrinkToFit="0" wrapText="1"/>
    </xf>
    <xf borderId="9" fillId="0" fontId="13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readingOrder="0" shrinkToFit="0" wrapText="1"/>
    </xf>
    <xf borderId="10" fillId="0" fontId="14" numFmtId="0" xfId="0" applyBorder="1" applyFont="1"/>
    <xf borderId="0" fillId="0" fontId="14" numFmtId="0" xfId="0" applyAlignment="1" applyFont="1">
      <alignment horizontal="center"/>
    </xf>
    <xf borderId="11" fillId="0" fontId="14" numFmtId="0" xfId="0" applyAlignment="1" applyBorder="1" applyFont="1">
      <alignment horizontal="center"/>
    </xf>
    <xf borderId="0" fillId="0" fontId="3" numFmtId="166" xfId="0" applyAlignment="1" applyFont="1" applyNumberFormat="1">
      <alignment horizontal="center"/>
    </xf>
    <xf borderId="1" fillId="0" fontId="3" numFmtId="165" xfId="0" applyAlignment="1" applyBorder="1" applyFont="1" applyNumberFormat="1">
      <alignment horizontal="center"/>
    </xf>
    <xf borderId="18" fillId="0" fontId="14" numFmtId="0" xfId="0" applyBorder="1" applyFont="1"/>
    <xf borderId="1" fillId="0" fontId="14" numFmtId="0" xfId="0" applyAlignment="1" applyBorder="1" applyFont="1">
      <alignment horizontal="center"/>
    </xf>
    <xf borderId="1" fillId="0" fontId="2" numFmtId="0" xfId="0" applyAlignment="1" applyBorder="1" applyFont="1">
      <alignment horizontal="center" shrinkToFit="0" wrapText="1"/>
    </xf>
    <xf borderId="19" fillId="0" fontId="14" numFmtId="0" xfId="0" applyAlignment="1" applyBorder="1" applyFont="1">
      <alignment horizontal="center"/>
    </xf>
    <xf borderId="0" fillId="0" fontId="3" numFmtId="2" xfId="0" applyAlignment="1" applyFont="1" applyNumberFormat="1">
      <alignment horizontal="left"/>
    </xf>
    <xf borderId="13" fillId="0" fontId="15" numFmtId="0" xfId="0" applyAlignment="1" applyBorder="1" applyFont="1">
      <alignment horizontal="center" readingOrder="0"/>
    </xf>
    <xf borderId="13" fillId="0" fontId="7" numFmtId="0" xfId="0" applyBorder="1" applyFont="1"/>
    <xf borderId="13" fillId="0" fontId="3" numFmtId="2" xfId="0" applyAlignment="1" applyBorder="1" applyFont="1" applyNumberFormat="1">
      <alignment horizontal="left"/>
    </xf>
    <xf borderId="31" fillId="0" fontId="13" numFmtId="0" xfId="0" applyAlignment="1" applyBorder="1" applyFont="1">
      <alignment horizontal="center" shrinkToFit="0" wrapText="1"/>
    </xf>
    <xf borderId="31" fillId="0" fontId="13" numFmtId="0" xfId="0" applyAlignment="1" applyBorder="1" applyFont="1">
      <alignment horizontal="center" readingOrder="0" shrinkToFit="0" wrapText="1"/>
    </xf>
    <xf borderId="31" fillId="0" fontId="14" numFmtId="0" xfId="0" applyBorder="1" applyFont="1"/>
    <xf borderId="31" fillId="0" fontId="14" numFmtId="0" xfId="0" applyAlignment="1" applyBorder="1" applyFont="1">
      <alignment readingOrder="0"/>
    </xf>
    <xf borderId="32" fillId="0" fontId="14" numFmtId="0" xfId="0" applyAlignment="1" applyBorder="1" applyFont="1">
      <alignment horizontal="center" shrinkToFit="0" wrapText="1"/>
    </xf>
    <xf borderId="33" fillId="0" fontId="7" numFmtId="0" xfId="0" applyBorder="1" applyFont="1"/>
    <xf borderId="34" fillId="0" fontId="7" numFmtId="0" xfId="0" applyBorder="1" applyFont="1"/>
    <xf borderId="1" fillId="0" fontId="3" numFmtId="2" xfId="0" applyAlignment="1" applyBorder="1" applyFont="1" applyNumberFormat="1">
      <alignment horizontal="left"/>
    </xf>
    <xf borderId="35" fillId="0" fontId="13" numFmtId="0" xfId="0" applyBorder="1" applyFont="1"/>
    <xf borderId="36" fillId="0" fontId="13" numFmtId="0" xfId="0" applyAlignment="1" applyBorder="1" applyFont="1">
      <alignment horizontal="center" shrinkToFit="0" wrapText="1"/>
    </xf>
    <xf borderId="36" fillId="0" fontId="13" numFmtId="0" xfId="0" applyAlignment="1" applyBorder="1" applyFont="1">
      <alignment horizontal="center" readingOrder="0" shrinkToFit="0" wrapText="1"/>
    </xf>
    <xf borderId="37" fillId="0" fontId="13" numFmtId="0" xfId="0" applyAlignment="1" applyBorder="1" applyFont="1">
      <alignment horizontal="center" shrinkToFit="0" wrapText="1"/>
    </xf>
    <xf borderId="38" fillId="0" fontId="14" numFmtId="0" xfId="0" applyBorder="1" applyFont="1"/>
    <xf borderId="18" fillId="0" fontId="3" numFmtId="2" xfId="0" applyBorder="1" applyFont="1" applyNumberFormat="1"/>
    <xf borderId="1" fillId="0" fontId="3" numFmtId="2" xfId="0" applyBorder="1" applyFont="1" applyNumberFormat="1"/>
    <xf borderId="31" fillId="0" fontId="14" numFmtId="0" xfId="0" applyAlignment="1" applyBorder="1" applyFont="1">
      <alignment horizontal="center"/>
    </xf>
    <xf borderId="39" fillId="0" fontId="14" numFmtId="0" xfId="0" applyAlignment="1" applyBorder="1" applyFont="1">
      <alignment horizontal="center"/>
    </xf>
    <xf borderId="19" fillId="0" fontId="3" numFmtId="2" xfId="0" applyBorder="1" applyFont="1" applyNumberFormat="1"/>
    <xf borderId="40" fillId="0" fontId="14" numFmtId="0" xfId="0" applyBorder="1" applyFont="1"/>
    <xf borderId="41" fillId="0" fontId="14" numFmtId="0" xfId="0" applyBorder="1" applyFont="1"/>
    <xf borderId="41" fillId="0" fontId="14" numFmtId="0" xfId="0" applyAlignment="1" applyBorder="1" applyFont="1">
      <alignment horizontal="center"/>
    </xf>
    <xf borderId="42" fillId="0" fontId="14" numFmtId="0" xfId="0" applyAlignment="1" applyBorder="1" applyFont="1">
      <alignment horizontal="center"/>
    </xf>
    <xf borderId="17" fillId="0" fontId="2" numFmtId="0" xfId="0" applyAlignment="1" applyBorder="1" applyFont="1">
      <alignment horizontal="center" readingOrder="0"/>
    </xf>
    <xf borderId="37" fillId="0" fontId="13" numFmtId="0" xfId="0" applyAlignment="1" applyBorder="1" applyFont="1">
      <alignment horizontal="center" readingOrder="0" shrinkToFit="0" wrapText="1"/>
    </xf>
    <xf borderId="31" fillId="0" fontId="3" numFmtId="4" xfId="0" applyAlignment="1" applyBorder="1" applyFont="1" applyNumberFormat="1">
      <alignment horizontal="center"/>
    </xf>
    <xf borderId="0" fillId="0" fontId="16" numFmtId="0" xfId="0" applyFont="1"/>
    <xf borderId="12" fillId="0" fontId="17" numFmtId="0" xfId="0" applyAlignment="1" applyBorder="1" applyFont="1">
      <alignment horizontal="center"/>
    </xf>
    <xf borderId="0" fillId="0" fontId="17" numFmtId="0" xfId="0" applyAlignment="1" applyFont="1">
      <alignment horizontal="center"/>
    </xf>
    <xf borderId="12" fillId="0" fontId="16" numFmtId="2" xfId="0" applyAlignment="1" applyBorder="1" applyFont="1" applyNumberFormat="1">
      <alignment horizontal="center" vertical="top"/>
    </xf>
    <xf borderId="0" fillId="0" fontId="16" numFmtId="2" xfId="0" applyAlignment="1" applyFont="1" applyNumberFormat="1">
      <alignment horizontal="center" vertical="top"/>
    </xf>
    <xf borderId="39" fillId="0" fontId="3" numFmtId="4" xfId="0" applyAlignment="1" applyBorder="1" applyFont="1" applyNumberFormat="1">
      <alignment horizontal="center"/>
    </xf>
    <xf borderId="32" fillId="0" fontId="14" numFmtId="0" xfId="0" applyAlignment="1" applyBorder="1" applyFont="1">
      <alignment horizontal="center"/>
    </xf>
    <xf borderId="1" fillId="0" fontId="16" numFmtId="0" xfId="0" applyBorder="1" applyFont="1"/>
    <xf borderId="17" fillId="0" fontId="16" numFmtId="2" xfId="0" applyAlignment="1" applyBorder="1" applyFont="1" applyNumberFormat="1">
      <alignment horizontal="center" vertical="top"/>
    </xf>
    <xf borderId="1" fillId="0" fontId="16" numFmtId="2" xfId="0" applyAlignment="1" applyBorder="1" applyFont="1" applyNumberFormat="1">
      <alignment horizontal="center" vertical="top"/>
    </xf>
    <xf borderId="12" fillId="0" fontId="3" numFmtId="0" xfId="0" applyBorder="1" applyFont="1"/>
    <xf borderId="12" fillId="0" fontId="17" numFmtId="2" xfId="0" applyAlignment="1" applyBorder="1" applyFont="1" applyNumberFormat="1">
      <alignment horizontal="center"/>
    </xf>
    <xf borderId="10" fillId="0" fontId="3" numFmtId="0" xfId="0" applyBorder="1" applyFont="1"/>
    <xf borderId="0" fillId="0" fontId="17" numFmtId="2" xfId="0" applyAlignment="1" applyFont="1" applyNumberFormat="1">
      <alignment horizontal="center"/>
    </xf>
    <xf borderId="41" fillId="0" fontId="2" numFmtId="4" xfId="0" applyAlignment="1" applyBorder="1" applyFont="1" applyNumberFormat="1">
      <alignment horizontal="center"/>
    </xf>
    <xf borderId="42" fillId="0" fontId="2" numFmtId="4" xfId="0" applyAlignment="1" applyBorder="1" applyFont="1" applyNumberFormat="1">
      <alignment horizontal="center"/>
    </xf>
    <xf borderId="43" fillId="0" fontId="2" numFmtId="0" xfId="0" applyAlignment="1" applyBorder="1" applyFont="1">
      <alignment horizontal="center"/>
    </xf>
    <xf borderId="1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 vertical="center"/>
    </xf>
    <xf borderId="31" fillId="0" fontId="3" numFmtId="0" xfId="0" applyBorder="1" applyFont="1"/>
    <xf borderId="31" fillId="0" fontId="3" numFmtId="0" xfId="0" applyAlignment="1" applyBorder="1" applyFont="1">
      <alignment horizontal="center"/>
    </xf>
    <xf borderId="0" fillId="0" fontId="14" numFmtId="167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 vertical="center"/>
    </xf>
    <xf borderId="31" fillId="0" fontId="3" numFmtId="2" xfId="0" applyAlignment="1" applyBorder="1" applyFont="1" applyNumberFormat="1">
      <alignment horizontal="center"/>
    </xf>
    <xf borderId="0" fillId="0" fontId="3" numFmtId="166" xfId="0" applyAlignment="1" applyFont="1" applyNumberFormat="1">
      <alignment horizontal="center" vertical="center"/>
    </xf>
    <xf borderId="0" fillId="0" fontId="3" numFmtId="4" xfId="0" applyAlignment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14" numFmtId="0" xfId="0" applyFont="1"/>
    <xf quotePrefix="1" borderId="0" fillId="0" fontId="3" numFmtId="0" xfId="0" applyAlignment="1" applyFon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1" fillId="0" fontId="14" numFmtId="0" xfId="0" applyAlignment="1" applyBorder="1" applyFont="1">
      <alignment horizontal="center" vertical="center"/>
    </xf>
    <xf quotePrefix="1" borderId="1" fillId="0" fontId="3" numFmtId="0" xfId="0" applyAlignment="1" applyBorder="1" applyFont="1">
      <alignment horizontal="center" vertical="center"/>
    </xf>
    <xf borderId="1" fillId="0" fontId="3" numFmtId="4" xfId="0" applyAlignment="1" applyBorder="1" applyFont="1" applyNumberFormat="1">
      <alignment horizontal="center" vertical="center"/>
    </xf>
    <xf borderId="31" fillId="0" fontId="3" numFmtId="0" xfId="0" applyAlignment="1" applyBorder="1" applyFont="1">
      <alignment horizontal="center" shrinkToFit="0" wrapText="1"/>
    </xf>
    <xf borderId="0" fillId="0" fontId="18" numFmtId="0" xfId="0" applyAlignment="1" applyFont="1">
      <alignment horizontal="center" readingOrder="0"/>
    </xf>
    <xf borderId="0" fillId="0" fontId="10" numFmtId="0" xfId="0" applyFont="1"/>
    <xf borderId="1" fillId="0" fontId="9" numFmtId="0" xfId="0" applyBorder="1" applyFont="1"/>
    <xf borderId="1" fillId="0" fontId="9" numFmtId="0" xfId="0" applyAlignment="1" applyBorder="1" applyFont="1">
      <alignment shrinkToFit="0" wrapText="1"/>
    </xf>
    <xf borderId="1" fillId="0" fontId="9" numFmtId="0" xfId="0" applyAlignment="1" applyBorder="1" applyFont="1">
      <alignment readingOrder="0"/>
    </xf>
    <xf borderId="0" fillId="0" fontId="9" numFmtId="0" xfId="0" applyFont="1"/>
    <xf borderId="0" fillId="0" fontId="19" numFmtId="0" xfId="0" applyFont="1"/>
    <xf borderId="0" fillId="0" fontId="20" numFmtId="0" xfId="0" applyAlignment="1" applyFont="1">
      <alignment shrinkToFit="0" wrapText="1"/>
    </xf>
    <xf borderId="0" fillId="0" fontId="10" numFmtId="0" xfId="0" applyAlignment="1" applyFont="1">
      <alignment shrinkToFit="0" wrapText="1"/>
    </xf>
    <xf borderId="13" fillId="0" fontId="10" numFmtId="0" xfId="0" applyBorder="1" applyFont="1"/>
    <xf borderId="13" fillId="0" fontId="20" numFmtId="0" xfId="0" applyAlignment="1" applyBorder="1" applyFont="1">
      <alignment shrinkToFit="0" wrapText="1"/>
    </xf>
    <xf borderId="13" fillId="0" fontId="10" numFmtId="0" xfId="0" applyAlignment="1" applyBorder="1" applyFont="1">
      <alignment shrinkToFit="0" wrapText="1"/>
    </xf>
    <xf borderId="1" fillId="0" fontId="10" numFmtId="0" xfId="0" applyBorder="1" applyFont="1"/>
    <xf borderId="1" fillId="0" fontId="20" numFmtId="0" xfId="0" applyAlignment="1" applyBorder="1" applyFont="1">
      <alignment shrinkToFit="0" wrapText="1"/>
    </xf>
    <xf borderId="13" fillId="0" fontId="21" numFmtId="0" xfId="0" applyAlignment="1" applyBorder="1" applyFont="1">
      <alignment readingOrder="0"/>
    </xf>
    <xf borderId="34" fillId="0" fontId="9" numFmtId="0" xfId="0" applyAlignment="1" applyBorder="1" applyFont="1">
      <alignment shrinkToFit="0" wrapText="1"/>
    </xf>
    <xf borderId="44" fillId="0" fontId="9" numFmtId="0" xfId="0" applyAlignment="1" applyBorder="1" applyFont="1">
      <alignment shrinkToFit="0" wrapText="1"/>
    </xf>
    <xf borderId="44" fillId="0" fontId="9" numFmtId="0" xfId="0" applyAlignment="1" applyBorder="1" applyFont="1">
      <alignment readingOrder="0" shrinkToFit="0" wrapText="1"/>
    </xf>
    <xf borderId="34" fillId="0" fontId="10" numFmtId="0" xfId="0" applyBorder="1" applyFont="1"/>
    <xf borderId="44" fillId="0" fontId="10" numFmtId="0" xfId="0" applyBorder="1" applyFont="1"/>
    <xf borderId="33" fillId="0" fontId="10" numFmtId="0" xfId="0" applyAlignment="1" applyBorder="1" applyFont="1">
      <alignment shrinkToFit="0" wrapText="1"/>
    </xf>
    <xf borderId="44" fillId="0" fontId="10" numFmtId="0" xfId="0" applyAlignment="1" applyBorder="1" applyFont="1">
      <alignment shrinkToFit="0" wrapText="1"/>
    </xf>
    <xf borderId="44" fillId="0" fontId="10" numFmtId="0" xfId="0" applyAlignment="1" applyBorder="1" applyFont="1">
      <alignment readingOrder="0"/>
    </xf>
    <xf borderId="3" fillId="0" fontId="9" numFmtId="0" xfId="0" applyBorder="1" applyFont="1"/>
    <xf borderId="45" fillId="0" fontId="9" numFmtId="0" xfId="0" applyBorder="1" applyFont="1"/>
    <xf borderId="16" fillId="0" fontId="9" numFmtId="0" xfId="0" applyAlignment="1" applyBorder="1" applyFont="1">
      <alignment shrinkToFit="0" wrapText="1"/>
    </xf>
    <xf borderId="45" fillId="0" fontId="10" numFmtId="0" xfId="0" applyBorder="1" applyFont="1"/>
    <xf quotePrefix="1" borderId="44" fillId="0" fontId="10" numFmtId="0" xfId="0" applyBorder="1" applyFont="1"/>
    <xf borderId="16" fillId="0" fontId="10" numFmtId="0" xfId="0" applyBorder="1" applyFont="1"/>
    <xf borderId="46" fillId="0" fontId="10" numFmtId="0" xfId="0" applyBorder="1" applyFont="1"/>
    <xf borderId="47" fillId="0" fontId="10" numFmtId="0" xfId="0" applyBorder="1" applyFont="1"/>
    <xf quotePrefix="1" borderId="47" fillId="0" fontId="10" numFmtId="0" xfId="0" applyBorder="1" applyFont="1"/>
    <xf borderId="19" fillId="0" fontId="10" numFmtId="0" xfId="0" applyBorder="1" applyFont="1"/>
    <xf borderId="0" fillId="0" fontId="10" numFmtId="0" xfId="0" applyAlignment="1" applyFont="1">
      <alignment shrinkToFit="0" vertical="bottom" wrapText="0"/>
    </xf>
    <xf borderId="4" fillId="0" fontId="9" numFmtId="0" xfId="0" applyBorder="1" applyFont="1"/>
    <xf borderId="0" fillId="0" fontId="9" numFmtId="0" xfId="0" applyAlignment="1" applyFont="1">
      <alignment horizontal="center" readingOrder="0" shrinkToFit="0" vertical="bottom" wrapText="0"/>
    </xf>
    <xf borderId="48" fillId="0" fontId="9" numFmtId="0" xfId="0" applyAlignment="1" applyBorder="1" applyFont="1">
      <alignment horizontal="center" readingOrder="0" shrinkToFit="0" vertical="bottom" wrapText="0"/>
    </xf>
    <xf borderId="7" fillId="0" fontId="9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wrapText="1"/>
    </xf>
    <xf borderId="0" fillId="0" fontId="9" numFmtId="0" xfId="0" applyAlignment="1" applyFont="1">
      <alignment horizontal="center" readingOrder="0" vertical="bottom"/>
    </xf>
    <xf borderId="9" fillId="0" fontId="9" numFmtId="0" xfId="0" applyAlignment="1" applyBorder="1" applyFont="1">
      <alignment shrinkToFit="0" wrapText="1"/>
    </xf>
    <xf borderId="48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26" fillId="0" fontId="10" numFmtId="0" xfId="0" applyAlignment="1" applyBorder="1" applyFont="1">
      <alignment readingOrder="0" shrinkToFit="0" wrapText="0"/>
    </xf>
    <xf borderId="10" fillId="0" fontId="10" numFmtId="0" xfId="0" applyBorder="1" applyFont="1"/>
    <xf borderId="24" fillId="0" fontId="10" numFmtId="0" xfId="0" applyAlignment="1" applyBorder="1" applyFont="1">
      <alignment readingOrder="0" shrinkToFit="0" vertical="bottom" wrapText="0"/>
    </xf>
    <xf borderId="11" fillId="0" fontId="10" numFmtId="0" xfId="0" applyBorder="1" applyFont="1"/>
    <xf borderId="24" fillId="0" fontId="10" numFmtId="0" xfId="0" applyAlignment="1" applyBorder="1" applyFont="1">
      <alignment horizontal="center" readingOrder="0" shrinkToFit="0" vertical="bottom" wrapText="0"/>
    </xf>
    <xf borderId="24" fillId="0" fontId="10" numFmtId="0" xfId="0" applyAlignment="1" applyBorder="1" applyFont="1">
      <alignment horizontal="center" shrinkToFit="0" vertical="bottom" wrapText="0"/>
    </xf>
    <xf quotePrefix="1" borderId="0" fillId="0" fontId="10" numFmtId="0" xfId="0" applyFont="1"/>
    <xf borderId="49" fillId="0" fontId="10" numFmtId="0" xfId="0" applyAlignment="1" applyBorder="1" applyFont="1">
      <alignment horizontal="center" readingOrder="0" shrinkToFit="0" vertical="bottom" wrapText="0"/>
    </xf>
    <xf borderId="50" fillId="0" fontId="10" numFmtId="0" xfId="0" applyAlignment="1" applyBorder="1" applyFont="1">
      <alignment horizontal="center" readingOrder="0" shrinkToFit="0" vertical="bottom" wrapText="0"/>
    </xf>
    <xf borderId="50" fillId="0" fontId="10" numFmtId="0" xfId="0" applyAlignment="1" applyBorder="1" applyFont="1">
      <alignment shrinkToFit="0" vertical="bottom" wrapText="0"/>
    </xf>
    <xf borderId="12" fillId="0" fontId="7" numFmtId="0" xfId="0" applyBorder="1" applyFont="1"/>
    <xf borderId="13" fillId="0" fontId="10" numFmtId="0" xfId="0" applyAlignment="1" applyBorder="1" applyFont="1">
      <alignment readingOrder="0" shrinkToFit="0" vertical="bottom" wrapText="0"/>
    </xf>
    <xf borderId="13" fillId="0" fontId="10" numFmtId="0" xfId="0" applyAlignment="1" applyBorder="1" applyFont="1">
      <alignment horizontal="center" readingOrder="0" shrinkToFit="0" vertical="bottom" wrapText="0"/>
    </xf>
    <xf borderId="51" fillId="0" fontId="10" numFmtId="0" xfId="0" applyAlignment="1" applyBorder="1" applyFont="1">
      <alignment horizontal="center" readingOrder="0" shrinkToFit="0" vertical="bottom" wrapText="0"/>
    </xf>
    <xf borderId="44" fillId="0" fontId="10" numFmtId="0" xfId="0" applyAlignment="1" applyBorder="1" applyFont="1">
      <alignment horizontal="center" readingOrder="0" shrinkToFit="0" vertical="bottom" wrapText="0"/>
    </xf>
    <xf borderId="52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18" fillId="0" fontId="10" numFmtId="0" xfId="0" applyBorder="1" applyFont="1"/>
    <xf borderId="0" fillId="0" fontId="10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shrinkToFit="0" vertical="bottom" wrapText="0"/>
    </xf>
    <xf quotePrefix="1" borderId="1" fillId="0" fontId="10" numFmtId="0" xfId="0" applyBorder="1" applyFont="1"/>
    <xf borderId="48" fillId="0" fontId="10" numFmtId="0" xfId="0" applyAlignment="1" applyBorder="1" applyFont="1">
      <alignment horizontal="center" readingOrder="0" shrinkToFit="0" vertical="bottom" wrapText="0"/>
    </xf>
    <xf borderId="52" fillId="0" fontId="10" numFmtId="0" xfId="0" applyAlignment="1" applyBorder="1" applyFont="1">
      <alignment horizontal="center" readingOrder="0" shrinkToFit="0" vertical="bottom" wrapText="0"/>
    </xf>
    <xf borderId="52" fillId="0" fontId="10" numFmtId="0" xfId="0" applyAlignment="1" applyBorder="1" applyFont="1">
      <alignment horizontal="center" readingOrder="0" vertical="bottom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bottom" wrapText="0"/>
    </xf>
    <xf borderId="48" fillId="0" fontId="19" numFmtId="0" xfId="0" applyAlignment="1" applyBorder="1" applyFont="1">
      <alignment horizontal="center" readingOrder="0" shrinkToFit="0" vertical="bottom" wrapText="0"/>
    </xf>
    <xf borderId="52" fillId="0" fontId="19" numFmtId="0" xfId="0" applyAlignment="1" applyBorder="1" applyFont="1">
      <alignment horizontal="center" readingOrder="0" shrinkToFit="0" vertical="bottom" wrapText="0"/>
    </xf>
    <xf borderId="13" fillId="0" fontId="9" numFmtId="0" xfId="0" applyAlignment="1" applyBorder="1" applyFont="1">
      <alignment readingOrder="0"/>
    </xf>
    <xf borderId="13" fillId="4" fontId="22" numFmtId="0" xfId="0" applyAlignment="1" applyBorder="1" applyFill="1" applyFont="1">
      <alignment readingOrder="0" shrinkToFit="0" vertical="bottom" wrapText="0"/>
    </xf>
    <xf borderId="13" fillId="4" fontId="22" numFmtId="0" xfId="0" applyAlignment="1" applyBorder="1" applyFill="1" applyFont="1">
      <alignment horizontal="center" readingOrder="0" shrinkToFit="0" vertical="bottom" wrapText="0"/>
    </xf>
    <xf borderId="51" fillId="4" fontId="22" numFmtId="0" xfId="0" applyAlignment="1" applyBorder="1" applyFill="1" applyFont="1">
      <alignment horizontal="center" readingOrder="0" shrinkToFit="0" vertical="bottom" wrapText="0"/>
    </xf>
    <xf borderId="44" fillId="4" fontId="22" numFmtId="0" xfId="0" applyAlignment="1" applyBorder="1" applyFill="1" applyFont="1">
      <alignment horizontal="center" readingOrder="0" shrinkToFit="0" vertical="bottom" wrapText="0"/>
    </xf>
    <xf borderId="48" fillId="0" fontId="19" numFmtId="0" xfId="0" applyAlignment="1" applyBorder="1" applyFont="1">
      <alignment horizontal="center" shrinkToFit="0" vertical="bottom" wrapText="0"/>
    </xf>
    <xf borderId="52" fillId="0" fontId="19" numFmtId="0" xfId="0" applyAlignment="1" applyBorder="1" applyFont="1">
      <alignment horizontal="center" shrinkToFit="0" vertical="bottom" wrapText="0"/>
    </xf>
    <xf borderId="13" fillId="0" fontId="19" numFmtId="0" xfId="0" applyAlignment="1" applyBorder="1" applyFont="1">
      <alignment readingOrder="0" shrinkToFit="0" vertical="bottom" wrapText="0"/>
    </xf>
    <xf borderId="13" fillId="0" fontId="19" numFmtId="0" xfId="0" applyAlignment="1" applyBorder="1" applyFont="1">
      <alignment horizontal="center" readingOrder="0" shrinkToFit="0" vertical="bottom" wrapText="0"/>
    </xf>
    <xf borderId="13" fillId="0" fontId="19" numFmtId="0" xfId="0" applyAlignment="1" applyBorder="1" applyFont="1">
      <alignment horizontal="center" shrinkToFit="0" vertical="bottom" wrapText="0"/>
    </xf>
    <xf borderId="51" fillId="0" fontId="19" numFmtId="0" xfId="0" applyAlignment="1" applyBorder="1" applyFont="1">
      <alignment horizontal="center" readingOrder="0" shrinkToFit="0" vertical="bottom" wrapText="0"/>
    </xf>
    <xf borderId="44" fillId="0" fontId="19" numFmtId="0" xfId="0" applyAlignment="1" applyBorder="1" applyFont="1">
      <alignment horizontal="center" readingOrder="0" shrinkToFit="0" vertical="bottom" wrapText="0"/>
    </xf>
    <xf borderId="53" fillId="0" fontId="10" numFmtId="0" xfId="0" applyBorder="1" applyFont="1"/>
    <xf borderId="52" fillId="0" fontId="10" numFmtId="0" xfId="0" applyAlignment="1" applyBorder="1" applyFont="1">
      <alignment vertical="bottom"/>
    </xf>
    <xf borderId="54" fillId="0" fontId="10" numFmtId="0" xfId="0" applyAlignment="1" applyBorder="1" applyFont="1">
      <alignment readingOrder="0"/>
    </xf>
    <xf borderId="55" fillId="0" fontId="10" numFmtId="0" xfId="0" applyBorder="1" applyFont="1"/>
    <xf borderId="0" fillId="5" fontId="23" numFmtId="0" xfId="0" applyAlignment="1" applyFill="1" applyFont="1">
      <alignment readingOrder="0" shrinkToFit="0" vertical="bottom" wrapText="0"/>
    </xf>
    <xf borderId="0" fillId="5" fontId="23" numFmtId="0" xfId="0" applyAlignment="1" applyFill="1" applyFont="1">
      <alignment horizontal="center" readingOrder="0" shrinkToFit="0" vertical="bottom" wrapText="0"/>
    </xf>
    <xf borderId="0" fillId="5" fontId="23" numFmtId="0" xfId="0" applyAlignment="1" applyFill="1" applyFont="1">
      <alignment horizontal="center" shrinkToFit="0" vertical="bottom" wrapText="0"/>
    </xf>
    <xf borderId="48" fillId="5" fontId="23" numFmtId="0" xfId="0" applyAlignment="1" applyBorder="1" applyFill="1" applyFont="1">
      <alignment horizontal="center" readingOrder="0" shrinkToFit="0" vertical="bottom" wrapText="0"/>
    </xf>
    <xf borderId="55" fillId="0" fontId="7" numFmtId="0" xfId="0" applyBorder="1" applyFont="1"/>
    <xf borderId="52" fillId="5" fontId="23" numFmtId="0" xfId="0" applyAlignment="1" applyBorder="1" applyFill="1" applyFont="1">
      <alignment horizontal="center" readingOrder="0" shrinkToFit="0" vertical="bottom" wrapText="0"/>
    </xf>
    <xf borderId="13" fillId="5" fontId="23" numFmtId="0" xfId="0" applyAlignment="1" applyBorder="1" applyFill="1" applyFont="1">
      <alignment readingOrder="0" shrinkToFit="0" vertical="bottom" wrapText="0"/>
    </xf>
    <xf borderId="13" fillId="5" fontId="23" numFmtId="0" xfId="0" applyAlignment="1" applyBorder="1" applyFill="1" applyFont="1">
      <alignment horizontal="center" readingOrder="0" shrinkToFit="0" vertical="bottom" wrapText="0"/>
    </xf>
    <xf borderId="56" fillId="0" fontId="10" numFmtId="0" xfId="0" applyBorder="1" applyFont="1"/>
    <xf borderId="51" fillId="5" fontId="23" numFmtId="0" xfId="0" applyAlignment="1" applyBorder="1" applyFill="1" applyFont="1">
      <alignment horizontal="center" readingOrder="0" shrinkToFit="0" vertical="bottom" wrapText="0"/>
    </xf>
    <xf borderId="44" fillId="5" fontId="23" numFmtId="0" xfId="0" applyAlignment="1" applyBorder="1" applyFill="1" applyFont="1">
      <alignment horizontal="center" readingOrder="0" shrinkToFit="0" vertical="bottom" wrapText="0"/>
    </xf>
    <xf borderId="52" fillId="0" fontId="10" numFmtId="0" xfId="0" applyAlignment="1" applyBorder="1" applyFont="1">
      <alignment readingOrder="0" vertical="bottom"/>
    </xf>
    <xf borderId="14" fillId="0" fontId="7" numFmtId="0" xfId="0" applyBorder="1" applyFont="1"/>
    <xf borderId="12" fillId="0" fontId="10" numFmtId="0" xfId="0" applyAlignment="1" applyBorder="1" applyFont="1">
      <alignment horizontal="center" readingOrder="0"/>
    </xf>
    <xf borderId="0" fillId="6" fontId="24" numFmtId="0" xfId="0" applyAlignment="1" applyFill="1" applyFont="1">
      <alignment readingOrder="0" shrinkToFit="0" vertical="bottom" wrapText="0"/>
    </xf>
    <xf borderId="0" fillId="6" fontId="24" numFmtId="0" xfId="0" applyAlignment="1" applyFill="1" applyFont="1">
      <alignment horizontal="center" readingOrder="0" shrinkToFit="0" vertical="bottom" wrapText="0"/>
    </xf>
    <xf borderId="0" fillId="6" fontId="24" numFmtId="0" xfId="0" applyAlignment="1" applyFill="1" applyFont="1">
      <alignment horizontal="center" shrinkToFit="0" vertical="bottom" wrapText="0"/>
    </xf>
    <xf borderId="48" fillId="6" fontId="24" numFmtId="0" xfId="0" applyAlignment="1" applyBorder="1" applyFill="1" applyFont="1">
      <alignment horizontal="center" readingOrder="0" shrinkToFit="0" vertical="bottom" wrapText="0"/>
    </xf>
    <xf borderId="52" fillId="6" fontId="24" numFmtId="0" xfId="0" applyAlignment="1" applyBorder="1" applyFill="1" applyFont="1">
      <alignment horizontal="center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13" fillId="0" fontId="10" numFmtId="0" xfId="0" applyAlignment="1" applyBorder="1" applyFont="1">
      <alignment horizontal="left" readingOrder="0" shrinkToFit="0" vertical="bottom" wrapText="0"/>
    </xf>
    <xf borderId="0" fillId="0" fontId="19" numFmtId="0" xfId="0" applyAlignment="1" applyFont="1">
      <alignment horizontal="left" readingOrder="0" shrinkToFit="0" vertical="bottom" wrapText="0"/>
    </xf>
    <xf borderId="13" fillId="4" fontId="22" numFmtId="0" xfId="0" applyAlignment="1" applyBorder="1" applyFill="1" applyFont="1">
      <alignment horizontal="left" readingOrder="0" shrinkToFit="0" vertical="bottom" wrapText="0"/>
    </xf>
    <xf borderId="13" fillId="4" fontId="22" numFmtId="0" xfId="0" applyAlignment="1" applyBorder="1" applyFill="1" applyFont="1">
      <alignment horizontal="right" readingOrder="0" shrinkToFit="0" vertical="bottom" wrapText="0"/>
    </xf>
    <xf borderId="13" fillId="0" fontId="10" numFmtId="0" xfId="0" applyAlignment="1" applyBorder="1" applyFont="1">
      <alignment shrinkToFit="0" vertical="bottom" wrapText="0"/>
    </xf>
    <xf borderId="44" fillId="0" fontId="10" numFmtId="0" xfId="0" applyAlignment="1" applyBorder="1" applyFont="1">
      <alignment horizontal="center" readingOrder="0" vertical="bottom"/>
    </xf>
    <xf borderId="0" fillId="0" fontId="9" numFmtId="0" xfId="0" applyAlignment="1" applyFont="1">
      <alignment shrinkToFit="0" vertical="bottom" wrapText="0"/>
    </xf>
    <xf borderId="13" fillId="0" fontId="9" numFmtId="0" xfId="0" applyAlignment="1" applyBorder="1" applyFont="1">
      <alignment horizontal="center" readingOrder="0" shrinkToFit="0" vertical="bottom" wrapText="0"/>
    </xf>
    <xf borderId="12" fillId="0" fontId="9" numFmtId="0" xfId="0" applyAlignment="1" applyBorder="1" applyFont="1">
      <alignment horizontal="center" readingOrder="0" vertical="bottom"/>
    </xf>
    <xf borderId="14" fillId="0" fontId="9" numFmtId="0" xfId="0" applyAlignment="1" applyBorder="1" applyFont="1">
      <alignment horizontal="center" readingOrder="0" vertical="bottom"/>
    </xf>
    <xf borderId="13" fillId="0" fontId="9" numFmtId="0" xfId="0" applyAlignment="1" applyBorder="1" applyFont="1">
      <alignment horizontal="center" readingOrder="0" vertical="bottom"/>
    </xf>
    <xf borderId="44" fillId="0" fontId="9" numFmtId="0" xfId="0" applyAlignment="1" applyBorder="1" applyFont="1">
      <alignment horizontal="center" readingOrder="0" vertical="bottom"/>
    </xf>
    <xf borderId="26" fillId="0" fontId="10" numFmtId="0" xfId="0" applyAlignment="1" applyBorder="1" applyFont="1">
      <alignment horizontal="center" readingOrder="0" shrinkToFit="0" wrapText="0"/>
    </xf>
    <xf borderId="12" fillId="0" fontId="10" numFmtId="0" xfId="0" applyAlignment="1" applyBorder="1" applyFont="1">
      <alignment horizontal="center" readingOrder="0" shrinkToFit="0" vertical="bottom" wrapText="0"/>
    </xf>
    <xf borderId="14" fillId="0" fontId="10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B. schlosseri - Medium Abundance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24 hrs 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Optimization'!$B$42:$M$42</c:f>
              <c:numCache/>
            </c:numRef>
          </c:val>
        </c:ser>
        <c:ser>
          <c:idx val="1"/>
          <c:order val="1"/>
          <c:tx>
            <c:v>3 hrs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Optimization'!$B$43:$M$43</c:f>
              <c:numCache/>
            </c:numRef>
          </c:val>
        </c:ser>
        <c:ser>
          <c:idx val="2"/>
          <c:order val="2"/>
          <c:tx>
            <c:v>1 hr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Optimization'!$B$44:$M$44</c:f>
              <c:numCache/>
            </c:numRef>
          </c:val>
        </c:ser>
        <c:ser>
          <c:idx val="3"/>
          <c:order val="3"/>
          <c:tx>
            <c:v>0.5 hr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Optimization'!$B$45:$M$45</c:f>
              <c:numCache/>
            </c:numRef>
          </c:val>
        </c:ser>
        <c:ser>
          <c:idx val="4"/>
          <c:order val="4"/>
          <c:tx>
            <c:v>0.25 hr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Optimization'!$B$46:$M$46</c:f>
              <c:numCache/>
            </c:numRef>
          </c:val>
        </c:ser>
        <c:ser>
          <c:idx val="5"/>
          <c:order val="5"/>
          <c:tx>
            <c:strRef>
              <c:f>'Extraction Optimization'!$A$47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'Extraction Optimization'!$B$41:$M$41</c:f>
            </c:strRef>
          </c:cat>
          <c:val>
            <c:numRef>
              <c:f>'Extraction Optimization'!$B$47:$M$47</c:f>
              <c:numCache/>
            </c:numRef>
          </c:val>
        </c:ser>
        <c:overlap val="100"/>
        <c:axId val="1785990439"/>
        <c:axId val="1249662353"/>
      </c:barChart>
      <c:catAx>
        <c:axId val="17859904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249662353"/>
      </c:catAx>
      <c:valAx>
        <c:axId val="12496623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85990439"/>
      </c:valAx>
    </c:plotArea>
    <c:legend>
      <c:legendPos val="r"/>
      <c:overlay val="0"/>
      <c:txPr>
        <a:bodyPr/>
        <a:lstStyle/>
        <a:p>
          <a:pPr lvl="0">
            <a:defRPr b="0" i="0" sz="11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C. intestinalis - HIgh Abundance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24 hrs 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Optimization'!$B$74:$M$74</c:f>
              <c:numCache/>
            </c:numRef>
          </c:val>
        </c:ser>
        <c:ser>
          <c:idx val="1"/>
          <c:order val="1"/>
          <c:tx>
            <c:v>2 hrs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Optimization'!$B$75:$M$75</c:f>
              <c:numCache/>
            </c:numRef>
          </c:val>
        </c:ser>
        <c:ser>
          <c:idx val="2"/>
          <c:order val="2"/>
          <c:tx>
            <c:v>1 hr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Optimization'!$B$76:$M$76</c:f>
              <c:numCache/>
            </c:numRef>
          </c:val>
        </c:ser>
        <c:ser>
          <c:idx val="3"/>
          <c:order val="3"/>
          <c:tx>
            <c:v>0.5 hr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Optimization'!$B$77:$M$77</c:f>
              <c:numCache/>
            </c:numRef>
          </c:val>
        </c:ser>
        <c:ser>
          <c:idx val="4"/>
          <c:order val="4"/>
          <c:tx>
            <c:v>0.25 hr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Optimization'!$B$78:$M$78</c:f>
              <c:numCache/>
            </c:numRef>
          </c:val>
        </c:ser>
        <c:ser>
          <c:idx val="5"/>
          <c:order val="5"/>
          <c:tx>
            <c:strRef>
              <c:f>'Extraction Optimization'!$A$79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'Extraction Optimization'!$B$73:$M$73</c:f>
            </c:strRef>
          </c:cat>
          <c:val>
            <c:numRef>
              <c:f>'Extraction Optimization'!$B$79:$M$79</c:f>
              <c:numCache/>
            </c:numRef>
          </c:val>
        </c:ser>
        <c:overlap val="100"/>
        <c:axId val="1721859238"/>
        <c:axId val="1828900132"/>
      </c:barChart>
      <c:catAx>
        <c:axId val="1721859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layout>
            <c:manualLayout>
              <c:xMode val="edge"/>
              <c:yMode val="edge"/>
              <c:x val="0.4585466102892953"/>
              <c:y val="0.9062012410148182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28900132"/>
      </c:catAx>
      <c:valAx>
        <c:axId val="18289001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2185923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B. violaceus - Low Abundance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24 hrs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Optimization'!$B$101:$M$101</c:f>
              <c:numCache/>
            </c:numRef>
          </c:val>
        </c:ser>
        <c:ser>
          <c:idx val="1"/>
          <c:order val="1"/>
          <c:tx>
            <c:v>2 hrs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Optimization'!$B$102:$M$102</c:f>
              <c:numCache/>
            </c:numRef>
          </c:val>
        </c:ser>
        <c:ser>
          <c:idx val="2"/>
          <c:order val="2"/>
          <c:tx>
            <c:v>1 hr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Optimization'!$B$103:$M$103</c:f>
              <c:numCache/>
            </c:numRef>
          </c:val>
        </c:ser>
        <c:ser>
          <c:idx val="3"/>
          <c:order val="3"/>
          <c:tx>
            <c:v>0.5 hr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Optimization'!$B$104:$M$104</c:f>
              <c:numCache/>
            </c:numRef>
          </c:val>
        </c:ser>
        <c:ser>
          <c:idx val="4"/>
          <c:order val="4"/>
          <c:tx>
            <c:v>0.25 hr</c:v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Optimization'!$B$105:$M$105</c:f>
              <c:numCache/>
            </c:numRef>
          </c:val>
        </c:ser>
        <c:ser>
          <c:idx val="5"/>
          <c:order val="5"/>
          <c:tx>
            <c:strRef>
              <c:f>'Extraction Optimization'!$A$106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'Extraction Optimization'!$B$100:$M$100</c:f>
            </c:strRef>
          </c:cat>
          <c:val>
            <c:numRef>
              <c:f>'Extraction Optimization'!$B$106:$M$106</c:f>
              <c:numCache/>
            </c:numRef>
          </c:val>
        </c:ser>
        <c:ser>
          <c:idx val="6"/>
          <c:order val="6"/>
          <c:tx>
            <c:strRef>
              <c:f>'Extraction Optimization'!$A$107</c:f>
            </c:strRef>
          </c:tx>
          <c:cat>
            <c:strRef>
              <c:f>'Extraction Optimization'!$B$100:$M$100</c:f>
            </c:strRef>
          </c:cat>
          <c:val>
            <c:numRef>
              <c:f>'Extraction Optimization'!$B$107:$M$107</c:f>
              <c:numCache/>
            </c:numRef>
          </c:val>
        </c:ser>
        <c:overlap val="100"/>
        <c:axId val="1878479254"/>
        <c:axId val="626284976"/>
      </c:barChart>
      <c:catAx>
        <c:axId val="1878479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626284976"/>
      </c:catAx>
      <c:valAx>
        <c:axId val="626284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7847925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Zebra Mussel - Very Low Abundance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3 hr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'Extraction Optimization'!$B$132:$K$132</c:f>
            </c:strRef>
          </c:cat>
          <c:val>
            <c:numRef>
              <c:f>'Extraction Optimization'!$B$133:$K$133</c:f>
              <c:numCache/>
            </c:numRef>
          </c:val>
        </c:ser>
        <c:ser>
          <c:idx val="1"/>
          <c:order val="1"/>
          <c:tx>
            <c:v>1 hr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'Extraction Optimization'!$B$132:$K$132</c:f>
            </c:strRef>
          </c:cat>
          <c:val>
            <c:numRef>
              <c:f>'Extraction Optimization'!$B$134:$K$134</c:f>
              <c:numCache/>
            </c:numRef>
          </c:val>
        </c:ser>
        <c:ser>
          <c:idx val="2"/>
          <c:order val="2"/>
          <c:tx>
            <c:v>0.5 hr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'Extraction Optimization'!$B$132:$K$132</c:f>
            </c:strRef>
          </c:cat>
          <c:val>
            <c:numRef>
              <c:f>'Extraction Optimization'!$B$135:$K$135</c:f>
              <c:numCache/>
            </c:numRef>
          </c:val>
        </c:ser>
        <c:ser>
          <c:idx val="3"/>
          <c:order val="3"/>
          <c:tx>
            <c:v>0.25 hr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'Extraction Optimization'!$B$132:$K$132</c:f>
            </c:strRef>
          </c:cat>
          <c:val>
            <c:numRef>
              <c:f>'Extraction Optimization'!$B$136:$K$136</c:f>
              <c:numCache/>
            </c:numRef>
          </c:val>
        </c:ser>
        <c:ser>
          <c:idx val="4"/>
          <c:order val="4"/>
          <c:tx>
            <c:strRef>
              <c:f>'Extraction Optimization'!$A$137</c:f>
            </c:strRef>
          </c:tx>
          <c:cat>
            <c:strRef>
              <c:f>'Extraction Optimization'!$B$132:$K$132</c:f>
            </c:strRef>
          </c:cat>
          <c:val>
            <c:numRef>
              <c:f>'Extraction Optimization'!$B$137:$K$137</c:f>
              <c:numCache/>
            </c:numRef>
          </c:val>
        </c:ser>
        <c:overlap val="100"/>
        <c:axId val="565457036"/>
        <c:axId val="1593552836"/>
      </c:barChart>
      <c:catAx>
        <c:axId val="565457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593552836"/>
      </c:catAx>
      <c:valAx>
        <c:axId val="15935528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565457036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QuantStudio 7 Flex vs Liberty 16 Detection Sensitivity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v>QS7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'Mobile vs Lab'!$C$47:$C$54</c:f>
            </c:strRef>
          </c:cat>
          <c:val>
            <c:numRef>
              <c:f>'Mobile vs Lab'!$D$47:$D$54</c:f>
              <c:numCache/>
            </c:numRef>
          </c:val>
          <c:smooth val="0"/>
        </c:ser>
        <c:ser>
          <c:idx val="1"/>
          <c:order val="1"/>
          <c:tx>
            <c:v>Liberty 16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'Mobile vs Lab'!$C$47:$C$54</c:f>
            </c:strRef>
          </c:cat>
          <c:val>
            <c:numRef>
              <c:f>'Mobile vs Lab'!$E$47:$E$54</c:f>
              <c:numCache/>
            </c:numRef>
          </c:val>
          <c:smooth val="0"/>
        </c:ser>
        <c:axId val="2123895433"/>
        <c:axId val="95870757"/>
      </c:lineChart>
      <c:catAx>
        <c:axId val="2123895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Standards (copies/reaction)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95870757"/>
      </c:catAx>
      <c:valAx>
        <c:axId val="95870757"/>
        <c:scaling>
          <c:orientation val="minMax"/>
          <c:min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layout>
            <c:manualLayout>
              <c:xMode val="edge"/>
              <c:yMode val="edge"/>
              <c:x val="0.013104011413903485"/>
              <c:y val="0.4095950441022574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212389543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QuantStudio 7 Flex vs Liberty 16 Performance Comparison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B. schlosseri QS7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'Mobile vs Lab'!$B$13:$B$18</c:f>
            </c:strRef>
          </c:cat>
          <c:val>
            <c:numRef>
              <c:f>'Mobile vs Lab'!$C$13:$C$18</c:f>
              <c:numCache/>
            </c:numRef>
          </c:val>
        </c:ser>
        <c:ser>
          <c:idx val="1"/>
          <c:order val="1"/>
          <c:tx>
            <c:v>B. schlosseri Liberty 16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'Mobile vs Lab'!$B$13:$B$18</c:f>
            </c:strRef>
          </c:cat>
          <c:val>
            <c:numRef>
              <c:f>'Mobile vs Lab'!$D$13:$D$18</c:f>
              <c:numCache/>
            </c:numRef>
          </c:val>
        </c:ser>
        <c:ser>
          <c:idx val="2"/>
          <c:order val="2"/>
          <c:tx>
            <c:v>C. intestinalis QS7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'Mobile vs Lab'!$B$13:$B$18</c:f>
            </c:strRef>
          </c:cat>
          <c:val>
            <c:numRef>
              <c:f>'Mobile vs Lab'!$E$13:$E$18</c:f>
              <c:numCache/>
            </c:numRef>
          </c:val>
        </c:ser>
        <c:ser>
          <c:idx val="3"/>
          <c:order val="3"/>
          <c:tx>
            <c:v>C. intestinalis Liberty 16</c:v>
          </c:tx>
          <c:spPr>
            <a:solidFill>
              <a:schemeClr val="accent4"/>
            </a:solidFill>
            <a:ln cmpd="sng">
              <a:noFill/>
            </a:ln>
          </c:spPr>
          <c:cat>
            <c:strRef>
              <c:f>'Mobile vs Lab'!$B$13:$B$18</c:f>
            </c:strRef>
          </c:cat>
          <c:val>
            <c:numRef>
              <c:f>'Mobile vs Lab'!$F$13:$F$18</c:f>
              <c:numCache/>
            </c:numRef>
          </c:val>
        </c:ser>
        <c:axId val="156588526"/>
        <c:axId val="577646451"/>
      </c:barChart>
      <c:catAx>
        <c:axId val="156588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7646451"/>
      </c:catAx>
      <c:valAx>
        <c:axId val="577646451"/>
        <c:scaling>
          <c:orientation val="minMax"/>
          <c:min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58852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Performance</a:t>
            </a:r>
          </a:p>
        </c:rich>
      </c:tx>
      <c:overlay val="0"/>
    </c:title>
    <c:plotArea>
      <c:layout/>
      <c:lineChart>
        <c:ser>
          <c:idx val="0"/>
          <c:order val="0"/>
          <c:tx>
            <c:v>B. schlosseri QS7</c:v>
          </c:tx>
          <c:spPr>
            <a:ln cmpd="sng" w="28575">
              <a:solidFill>
                <a:schemeClr val="accent1"/>
              </a:solidFill>
              <a:prstDash val="sysDot"/>
            </a:ln>
          </c:spPr>
          <c:marker>
            <c:symbol val="none"/>
          </c:marker>
          <c:cat>
            <c:strRef>
              <c:f>'Mobile vs Lab'!$B$13:$B$18</c:f>
            </c:strRef>
          </c:cat>
          <c:val>
            <c:numRef>
              <c:f>'Mobile vs Lab'!$C$13:$C$18</c:f>
              <c:numCache/>
            </c:numRef>
          </c:val>
          <c:smooth val="0"/>
        </c:ser>
        <c:ser>
          <c:idx val="1"/>
          <c:order val="1"/>
          <c:tx>
            <c:v>B. schlosseri Liberty 16</c:v>
          </c:tx>
          <c:spPr>
            <a:ln cmpd="sng" w="28575">
              <a:solidFill>
                <a:schemeClr val="accent2"/>
              </a:solidFill>
              <a:prstDash val="sysDot"/>
            </a:ln>
          </c:spPr>
          <c:marker>
            <c:symbol val="none"/>
          </c:marker>
          <c:cat>
            <c:strRef>
              <c:f>'Mobile vs Lab'!$B$13:$B$18</c:f>
            </c:strRef>
          </c:cat>
          <c:val>
            <c:numRef>
              <c:f>'Mobile vs Lab'!$D$13:$D$18</c:f>
              <c:numCache/>
            </c:numRef>
          </c:val>
          <c:smooth val="0"/>
        </c:ser>
        <c:ser>
          <c:idx val="2"/>
          <c:order val="2"/>
          <c:tx>
            <c:v>C. intestinalis QS7</c:v>
          </c:tx>
          <c:spPr>
            <a:ln cmpd="sng" w="28575">
              <a:solidFill>
                <a:schemeClr val="accent4"/>
              </a:solidFill>
              <a:prstDash val="dash"/>
            </a:ln>
          </c:spPr>
          <c:marker>
            <c:symbol val="none"/>
          </c:marker>
          <c:cat>
            <c:strRef>
              <c:f>'Mobile vs Lab'!$B$13:$B$18</c:f>
            </c:strRef>
          </c:cat>
          <c:val>
            <c:numRef>
              <c:f>'Mobile vs Lab'!$E$13:$E$18</c:f>
              <c:numCache/>
            </c:numRef>
          </c:val>
          <c:smooth val="0"/>
        </c:ser>
        <c:ser>
          <c:idx val="3"/>
          <c:order val="3"/>
          <c:tx>
            <c:v>C. intestinalis Liberty 16</c:v>
          </c:tx>
          <c:spPr>
            <a:ln cmpd="sng" w="28575">
              <a:solidFill>
                <a:schemeClr val="accent2"/>
              </a:solidFill>
              <a:prstDash val="dash"/>
            </a:ln>
          </c:spPr>
          <c:marker>
            <c:symbol val="none"/>
          </c:marker>
          <c:cat>
            <c:strRef>
              <c:f>'Mobile vs Lab'!$B$13:$B$18</c:f>
            </c:strRef>
          </c:cat>
          <c:val>
            <c:numRef>
              <c:f>'Mobile vs Lab'!$F$13:$F$18</c:f>
              <c:numCache/>
            </c:numRef>
          </c:val>
          <c:smooth val="0"/>
        </c:ser>
        <c:axId val="402408420"/>
        <c:axId val="900438859"/>
      </c:lineChart>
      <c:catAx>
        <c:axId val="402408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Samples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900438859"/>
      </c:catAx>
      <c:valAx>
        <c:axId val="900438859"/>
        <c:scaling>
          <c:orientation val="minMax"/>
          <c:min val="15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40240842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Stress Test on Small Vessel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Row 1                              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'Mobile vs Lab'!$A$67:$A$74</c:f>
            </c:strRef>
          </c:cat>
          <c:val>
            <c:numRef>
              <c:f>'Mobile vs Lab'!$C$67:$C$74</c:f>
              <c:numCache/>
            </c:numRef>
          </c:val>
        </c:ser>
        <c:ser>
          <c:idx val="1"/>
          <c:order val="1"/>
          <c:tx>
            <c:v>Row 2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'Mobile vs Lab'!$A$67:$A$74</c:f>
            </c:strRef>
          </c:cat>
          <c:val>
            <c:numRef>
              <c:f>'Mobile vs Lab'!$D$67:$D$74</c:f>
              <c:numCache/>
            </c:numRef>
          </c:val>
        </c:ser>
        <c:axId val="1897499623"/>
        <c:axId val="990988905"/>
      </c:barChart>
      <c:catAx>
        <c:axId val="1897499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Standard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990988905"/>
      </c:catAx>
      <c:valAx>
        <c:axId val="99098890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89749962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eDNA Room Temp. Incubation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0hr RT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'eDNA and Assay Stability'!$J$35:$L$35</c:f>
            </c:strRef>
          </c:cat>
          <c:val>
            <c:numRef>
              <c:f>'eDNA and Assay Stability'!$J$36:$L$36</c:f>
              <c:numCache/>
            </c:numRef>
          </c:val>
        </c:ser>
        <c:ser>
          <c:idx val="1"/>
          <c:order val="1"/>
          <c:tx>
            <c:v>24hr RT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'eDNA and Assay Stability'!$J$35:$L$35</c:f>
            </c:strRef>
          </c:cat>
          <c:val>
            <c:numRef>
              <c:f>'eDNA and Assay Stability'!$J$37:$L$37</c:f>
              <c:numCache/>
            </c:numRef>
          </c:val>
        </c:ser>
        <c:ser>
          <c:idx val="2"/>
          <c:order val="2"/>
          <c:tx>
            <c:v>48hr RT</c:v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'eDNA and Assay Stability'!$J$35:$L$35</c:f>
            </c:strRef>
          </c:cat>
          <c:val>
            <c:numRef>
              <c:f>'eDNA and Assay Stability'!$J$38:$L$38</c:f>
              <c:numCache/>
            </c:numRef>
          </c:val>
        </c:ser>
        <c:axId val="1759700717"/>
        <c:axId val="804556924"/>
      </c:barChart>
      <c:catAx>
        <c:axId val="17597007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804556924"/>
      </c:catAx>
      <c:valAx>
        <c:axId val="8045569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5970071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3 month at 4C eDNA Comparison </a:t>
            </a:r>
          </a:p>
        </c:rich>
      </c:tx>
      <c:overlay val="0"/>
    </c:title>
    <c:plotArea>
      <c:layout>
        <c:manualLayout>
          <c:xMode val="edge"/>
          <c:yMode val="edge"/>
          <c:x val="0.10105529270377456"/>
          <c:y val="0.10427525251032407"/>
          <c:w val="0.7810047567372291"/>
          <c:h val="0.6930324863664897"/>
        </c:manualLayout>
      </c:layout>
      <c:barChart>
        <c:barDir val="col"/>
        <c:ser>
          <c:idx val="0"/>
          <c:order val="0"/>
          <c:tx>
            <c:v>0 Months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'eDNA and Assay Stability'!$M$2:$U$2</c:f>
            </c:strRef>
          </c:cat>
          <c:val>
            <c:numRef>
              <c:f>'eDNA and Assay Stability'!$M$3:$U$3</c:f>
              <c:numCache/>
            </c:numRef>
          </c:val>
        </c:ser>
        <c:ser>
          <c:idx val="1"/>
          <c:order val="1"/>
          <c:tx>
            <c:v>3 Months</c:v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'eDNA and Assay Stability'!$M$2:$U$2</c:f>
            </c:strRef>
          </c:cat>
          <c:val>
            <c:numRef>
              <c:f>'eDNA and Assay Stability'!$M$4:$U$4</c:f>
              <c:numCache/>
            </c:numRef>
          </c:val>
        </c:ser>
        <c:axId val="1734636725"/>
        <c:axId val="742884213"/>
      </c:barChart>
      <c:catAx>
        <c:axId val="1734636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742884213"/>
      </c:catAx>
      <c:valAx>
        <c:axId val="74288421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100">
                    <a:solidFill>
                      <a:srgbClr val="000000"/>
                    </a:solidFill>
                    <a:latin typeface="+mn-lt"/>
                  </a:rPr>
                  <a:t>CT Mean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3463672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</xdr:colOff>
      <xdr:row>48</xdr:row>
      <xdr:rowOff>95250</xdr:rowOff>
    </xdr:from>
    <xdr:ext cx="8829675" cy="3895725"/>
    <xdr:graphicFrame>
      <xdr:nvGraphicFramePr>
        <xdr:cNvPr id="18133128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28575</xdr:colOff>
      <xdr:row>80</xdr:row>
      <xdr:rowOff>123825</xdr:rowOff>
    </xdr:from>
    <xdr:ext cx="8191500" cy="3371850"/>
    <xdr:graphicFrame>
      <xdr:nvGraphicFramePr>
        <xdr:cNvPr id="192058738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123825</xdr:colOff>
      <xdr:row>108</xdr:row>
      <xdr:rowOff>76200</xdr:rowOff>
    </xdr:from>
    <xdr:ext cx="9296400" cy="3829050"/>
    <xdr:graphicFrame>
      <xdr:nvGraphicFramePr>
        <xdr:cNvPr id="189836420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790575</xdr:colOff>
      <xdr:row>138</xdr:row>
      <xdr:rowOff>171450</xdr:rowOff>
    </xdr:from>
    <xdr:ext cx="9086850" cy="3476625"/>
    <xdr:graphicFrame>
      <xdr:nvGraphicFramePr>
        <xdr:cNvPr id="2071703012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466725</xdr:colOff>
      <xdr:row>23</xdr:row>
      <xdr:rowOff>95250</xdr:rowOff>
    </xdr:from>
    <xdr:ext cx="1495425" cy="323850"/>
    <xdr:sp>
      <xdr:nvSpPr>
        <xdr:cNvPr id="3" name="Shape 3"/>
        <xdr:cNvSpPr txBox="1"/>
      </xdr:nvSpPr>
      <xdr:spPr>
        <a:xfrm>
          <a:off x="4603050" y="3622838"/>
          <a:ext cx="1485900" cy="314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Digestion time (3)</a:t>
          </a:r>
          <a:endParaRPr sz="1400"/>
        </a:p>
      </xdr:txBody>
    </xdr:sp>
    <xdr:clientData fLocksWithSheet="0"/>
  </xdr:oneCellAnchor>
  <xdr:oneCellAnchor>
    <xdr:from>
      <xdr:col>4</xdr:col>
      <xdr:colOff>276225</xdr:colOff>
      <xdr:row>23</xdr:row>
      <xdr:rowOff>95250</xdr:rowOff>
    </xdr:from>
    <xdr:ext cx="1571625" cy="323850"/>
    <xdr:sp>
      <xdr:nvSpPr>
        <xdr:cNvPr id="4" name="Shape 4"/>
        <xdr:cNvSpPr txBox="1"/>
      </xdr:nvSpPr>
      <xdr:spPr>
        <a:xfrm>
          <a:off x="4560188" y="3622838"/>
          <a:ext cx="1571625" cy="314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Field replicate (2 to 3)</a:t>
          </a:r>
          <a:endParaRPr sz="1400"/>
        </a:p>
      </xdr:txBody>
    </xdr:sp>
    <xdr:clientData fLocksWithSheet="0"/>
  </xdr:oneCellAnchor>
  <xdr:oneCellAnchor>
    <xdr:from>
      <xdr:col>5</xdr:col>
      <xdr:colOff>809625</xdr:colOff>
      <xdr:row>23</xdr:row>
      <xdr:rowOff>95250</xdr:rowOff>
    </xdr:from>
    <xdr:ext cx="1895475" cy="323850"/>
    <xdr:sp>
      <xdr:nvSpPr>
        <xdr:cNvPr id="5" name="Shape 5"/>
        <xdr:cNvSpPr txBox="1"/>
      </xdr:nvSpPr>
      <xdr:spPr>
        <a:xfrm>
          <a:off x="4403025" y="3622838"/>
          <a:ext cx="1885950" cy="314325"/>
        </a:xfrm>
        <a:prstGeom prst="rect">
          <a:avLst/>
        </a:prstGeom>
        <a:solidFill>
          <a:schemeClr val="l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latin typeface="Arial"/>
              <a:ea typeface="Arial"/>
              <a:cs typeface="Arial"/>
              <a:sym typeface="Arial"/>
            </a:rPr>
            <a:t>qPCR  replicate (3 or 9?)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542925</xdr:colOff>
      <xdr:row>40</xdr:row>
      <xdr:rowOff>57150</xdr:rowOff>
    </xdr:from>
    <xdr:ext cx="8639175" cy="3657600"/>
    <xdr:graphicFrame>
      <xdr:nvGraphicFramePr>
        <xdr:cNvPr id="108343113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238125</xdr:colOff>
      <xdr:row>9</xdr:row>
      <xdr:rowOff>180975</xdr:rowOff>
    </xdr:from>
    <xdr:ext cx="8562975" cy="3162300"/>
    <xdr:graphicFrame>
      <xdr:nvGraphicFramePr>
        <xdr:cNvPr id="211663596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24</xdr:col>
      <xdr:colOff>571500</xdr:colOff>
      <xdr:row>10</xdr:row>
      <xdr:rowOff>9525</xdr:rowOff>
    </xdr:from>
    <xdr:ext cx="7867650" cy="3095625"/>
    <xdr:graphicFrame>
      <xdr:nvGraphicFramePr>
        <xdr:cNvPr id="129032778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180975</xdr:colOff>
      <xdr:row>64</xdr:row>
      <xdr:rowOff>28575</xdr:rowOff>
    </xdr:from>
    <xdr:ext cx="8467725" cy="3000375"/>
    <xdr:graphicFrame>
      <xdr:nvGraphicFramePr>
        <xdr:cNvPr id="152633890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514350</xdr:colOff>
      <xdr:row>39</xdr:row>
      <xdr:rowOff>28575</xdr:rowOff>
    </xdr:from>
    <xdr:ext cx="7791450" cy="3419475"/>
    <xdr:graphicFrame>
      <xdr:nvGraphicFramePr>
        <xdr:cNvPr id="85828846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219075</xdr:colOff>
      <xdr:row>5</xdr:row>
      <xdr:rowOff>171450</xdr:rowOff>
    </xdr:from>
    <xdr:ext cx="8496300" cy="4324350"/>
    <xdr:graphicFrame>
      <xdr:nvGraphicFramePr>
        <xdr:cNvPr id="191300860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3.38"/>
    <col customWidth="1" min="3" max="3" width="16.0"/>
    <col customWidth="1" min="4" max="4" width="17.88"/>
    <col customWidth="1" min="5" max="5" width="24.75"/>
    <col customWidth="1" min="6" max="6" width="46.25"/>
    <col customWidth="1" min="7" max="7" width="32.0"/>
    <col customWidth="1" min="8" max="8" width="42.13"/>
    <col customWidth="1" min="9" max="12" width="9.38"/>
    <col customWidth="1" min="13" max="15" width="10.63"/>
    <col customWidth="1" min="16" max="20" width="9.38"/>
    <col customWidth="1" min="21" max="23" width="13.75"/>
    <col customWidth="1" min="24" max="26" width="9.38"/>
    <col customWidth="1" min="27" max="27" width="9.13"/>
    <col customWidth="1" min="28" max="28" width="9.38"/>
    <col customWidth="1" min="29" max="31" width="10.63"/>
    <col customWidth="1" min="32" max="32" width="8.63"/>
  </cols>
  <sheetData>
    <row r="1" ht="14.25" customHeight="1">
      <c r="I1" s="124" t="s">
        <v>32</v>
      </c>
      <c r="J1" s="81"/>
      <c r="K1" s="81"/>
      <c r="L1" s="81"/>
      <c r="M1" s="81"/>
      <c r="N1" s="81"/>
      <c r="O1" s="81"/>
      <c r="P1" s="82"/>
      <c r="Q1" s="124" t="s">
        <v>33</v>
      </c>
      <c r="R1" s="81"/>
      <c r="S1" s="81"/>
      <c r="T1" s="81"/>
      <c r="U1" s="81"/>
      <c r="V1" s="81"/>
      <c r="W1" s="81"/>
      <c r="X1" s="82"/>
      <c r="Y1" s="124" t="s">
        <v>34</v>
      </c>
      <c r="Z1" s="81"/>
      <c r="AA1" s="81"/>
      <c r="AB1" s="81"/>
      <c r="AC1" s="81"/>
      <c r="AD1" s="81"/>
      <c r="AE1" s="81"/>
      <c r="AF1" s="82"/>
    </row>
    <row r="2" ht="14.25" customHeight="1">
      <c r="A2" s="4" t="s">
        <v>0</v>
      </c>
      <c r="B2" s="5" t="s">
        <v>36</v>
      </c>
      <c r="C2" s="5" t="s">
        <v>3</v>
      </c>
      <c r="D2" s="5" t="s">
        <v>4</v>
      </c>
      <c r="E2" s="6" t="s">
        <v>5</v>
      </c>
      <c r="F2" s="5" t="s">
        <v>6</v>
      </c>
      <c r="G2" s="135" t="s">
        <v>92</v>
      </c>
      <c r="H2" s="136" t="s">
        <v>7</v>
      </c>
      <c r="I2" s="9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1" t="s">
        <v>13</v>
      </c>
      <c r="O2" s="11" t="s">
        <v>14</v>
      </c>
      <c r="P2" s="12" t="s">
        <v>15</v>
      </c>
      <c r="Q2" s="13" t="s">
        <v>8</v>
      </c>
      <c r="R2" s="14" t="s">
        <v>9</v>
      </c>
      <c r="S2" s="14" t="s">
        <v>10</v>
      </c>
      <c r="T2" s="14" t="s">
        <v>11</v>
      </c>
      <c r="U2" s="14" t="s">
        <v>12</v>
      </c>
      <c r="V2" s="15" t="s">
        <v>13</v>
      </c>
      <c r="W2" s="15" t="s">
        <v>14</v>
      </c>
      <c r="X2" s="16" t="s">
        <v>15</v>
      </c>
      <c r="Y2" s="13" t="s">
        <v>8</v>
      </c>
      <c r="Z2" s="14" t="s">
        <v>9</v>
      </c>
      <c r="AA2" s="14" t="s">
        <v>10</v>
      </c>
      <c r="AB2" s="14" t="s">
        <v>11</v>
      </c>
      <c r="AC2" s="14" t="s">
        <v>12</v>
      </c>
      <c r="AD2" s="15" t="s">
        <v>13</v>
      </c>
      <c r="AE2" s="15" t="s">
        <v>14</v>
      </c>
      <c r="AF2" s="16" t="s">
        <v>15</v>
      </c>
    </row>
    <row r="3" ht="14.25" customHeight="1">
      <c r="A3" s="17">
        <v>44647.0</v>
      </c>
      <c r="B3" s="18" t="s">
        <v>16</v>
      </c>
      <c r="C3" s="1" t="s">
        <v>17</v>
      </c>
      <c r="D3" s="1" t="s">
        <v>18</v>
      </c>
      <c r="E3" s="1">
        <v>1.6</v>
      </c>
      <c r="G3" s="90" t="s">
        <v>95</v>
      </c>
      <c r="H3" s="19">
        <v>25.1</v>
      </c>
      <c r="I3" s="31">
        <v>27.428</v>
      </c>
      <c r="J3" s="24">
        <v>27.32</v>
      </c>
      <c r="K3" s="24">
        <v>27.182</v>
      </c>
      <c r="L3" s="24">
        <f t="shared" ref="L3:L6" si="1">AVERAGE(I3:K3)</f>
        <v>27.31</v>
      </c>
      <c r="M3" s="24">
        <v>0.123</v>
      </c>
      <c r="N3" s="24">
        <v>3406.59</v>
      </c>
      <c r="O3" s="24">
        <v>3655.315</v>
      </c>
      <c r="P3" s="25">
        <v>3997.867</v>
      </c>
      <c r="Q3" s="31">
        <v>24.315</v>
      </c>
      <c r="R3" s="24">
        <v>24.264</v>
      </c>
      <c r="S3" s="24">
        <v>24.241</v>
      </c>
      <c r="T3" s="24">
        <v>24.273</v>
      </c>
      <c r="U3" s="24">
        <v>0.038</v>
      </c>
      <c r="V3" s="24">
        <v>26489.164</v>
      </c>
      <c r="W3" s="24">
        <v>27388.748</v>
      </c>
      <c r="X3" s="25">
        <v>27796.918</v>
      </c>
      <c r="Y3" s="137">
        <v>29.712772369384766</v>
      </c>
      <c r="Z3" s="110">
        <v>29.741931915283203</v>
      </c>
      <c r="AA3" s="110">
        <v>29.59686279296875</v>
      </c>
      <c r="AB3" s="110">
        <v>29.683855</v>
      </c>
      <c r="AC3" s="110">
        <v>0.07673587</v>
      </c>
      <c r="AD3" s="110">
        <v>844.43536</v>
      </c>
      <c r="AE3" s="110">
        <v>828.36914</v>
      </c>
      <c r="AF3" s="138">
        <v>911.43976</v>
      </c>
    </row>
    <row r="4" ht="14.25" customHeight="1">
      <c r="A4" s="17">
        <v>44648.0</v>
      </c>
      <c r="B4" s="18" t="s">
        <v>20</v>
      </c>
      <c r="C4" s="1" t="s">
        <v>17</v>
      </c>
      <c r="D4" s="1" t="s">
        <v>18</v>
      </c>
      <c r="E4" s="1">
        <v>1.6</v>
      </c>
      <c r="G4" s="90" t="s">
        <v>95</v>
      </c>
      <c r="H4" s="30">
        <v>16.5</v>
      </c>
      <c r="I4" s="31">
        <v>29.856</v>
      </c>
      <c r="J4" s="24">
        <v>29.948</v>
      </c>
      <c r="K4" s="24">
        <v>30.012</v>
      </c>
      <c r="L4" s="24">
        <f t="shared" si="1"/>
        <v>29.93866667</v>
      </c>
      <c r="M4" s="24">
        <v>0.079</v>
      </c>
      <c r="N4" s="24">
        <v>701.109</v>
      </c>
      <c r="O4" s="24">
        <v>660.236</v>
      </c>
      <c r="P4" s="25">
        <v>633.251</v>
      </c>
      <c r="Q4" s="31">
        <v>21.819</v>
      </c>
      <c r="R4" s="24">
        <v>21.843</v>
      </c>
      <c r="S4" s="24">
        <v>21.759</v>
      </c>
      <c r="T4" s="24">
        <v>21.807</v>
      </c>
      <c r="U4" s="24">
        <v>0.043</v>
      </c>
      <c r="V4" s="24">
        <v>135540.5</v>
      </c>
      <c r="W4" s="24">
        <v>133438.16</v>
      </c>
      <c r="X4" s="25">
        <v>140961.4</v>
      </c>
      <c r="Y4" s="137">
        <v>29.803848266601562</v>
      </c>
      <c r="Z4" s="110">
        <v>29.979055404663086</v>
      </c>
      <c r="AA4" s="110">
        <v>29.72300910949707</v>
      </c>
      <c r="AB4" s="110">
        <v>29.835304</v>
      </c>
      <c r="AC4" s="110">
        <v>0.1308894</v>
      </c>
      <c r="AD4" s="110">
        <v>795.2611</v>
      </c>
      <c r="AE4" s="110">
        <v>708.5708</v>
      </c>
      <c r="AF4" s="138">
        <v>838.76</v>
      </c>
    </row>
    <row r="5" ht="14.25" customHeight="1">
      <c r="A5" s="17">
        <v>44649.0</v>
      </c>
      <c r="B5" s="18" t="s">
        <v>21</v>
      </c>
      <c r="C5" s="1" t="s">
        <v>17</v>
      </c>
      <c r="D5" s="1" t="s">
        <v>18</v>
      </c>
      <c r="E5" s="1">
        <v>1.6</v>
      </c>
      <c r="G5" s="90" t="s">
        <v>95</v>
      </c>
      <c r="H5" s="30">
        <v>20.1</v>
      </c>
      <c r="I5" s="31">
        <v>29.936</v>
      </c>
      <c r="J5" s="24">
        <v>29.977</v>
      </c>
      <c r="K5" s="24">
        <v>29.979</v>
      </c>
      <c r="L5" s="24">
        <f t="shared" si="1"/>
        <v>29.964</v>
      </c>
      <c r="M5" s="24">
        <v>0.024</v>
      </c>
      <c r="N5" s="24">
        <v>665.46</v>
      </c>
      <c r="O5" s="24">
        <v>648.047</v>
      </c>
      <c r="P5" s="25">
        <v>647.229</v>
      </c>
      <c r="Q5" s="31">
        <v>21.748</v>
      </c>
      <c r="R5" s="24">
        <v>21.789</v>
      </c>
      <c r="S5" s="24">
        <v>21.768</v>
      </c>
      <c r="T5" s="24">
        <v>21.768</v>
      </c>
      <c r="U5" s="24">
        <v>0.02</v>
      </c>
      <c r="V5" s="24">
        <v>141918.19</v>
      </c>
      <c r="W5" s="24">
        <v>138210.94</v>
      </c>
      <c r="X5" s="25">
        <v>140146.84</v>
      </c>
      <c r="Y5" s="137">
        <v>30.028522491455078</v>
      </c>
      <c r="Z5" s="110">
        <v>29.947378158569336</v>
      </c>
      <c r="AA5" s="110">
        <v>29.875675201416016</v>
      </c>
      <c r="AB5" s="110">
        <v>29.950525</v>
      </c>
      <c r="AC5" s="110">
        <v>0.07647223</v>
      </c>
      <c r="AD5" s="110">
        <v>685.8526</v>
      </c>
      <c r="AE5" s="110">
        <v>723.5126</v>
      </c>
      <c r="AF5" s="138">
        <v>758.508</v>
      </c>
    </row>
    <row r="6" ht="14.25" customHeight="1">
      <c r="A6" s="32">
        <v>44650.0</v>
      </c>
      <c r="B6" s="33" t="s">
        <v>22</v>
      </c>
      <c r="C6" s="34" t="s">
        <v>17</v>
      </c>
      <c r="D6" s="34" t="s">
        <v>18</v>
      </c>
      <c r="E6" s="34">
        <v>1.6</v>
      </c>
      <c r="F6" s="34" t="s">
        <v>23</v>
      </c>
      <c r="G6" s="90" t="s">
        <v>95</v>
      </c>
      <c r="H6" s="35">
        <v>0.324</v>
      </c>
      <c r="I6" s="31">
        <v>31.376</v>
      </c>
      <c r="J6" s="24">
        <v>31.217</v>
      </c>
      <c r="K6" s="24">
        <v>31.241</v>
      </c>
      <c r="L6" s="24">
        <f t="shared" si="1"/>
        <v>31.278</v>
      </c>
      <c r="M6" s="24">
        <v>0.086</v>
      </c>
      <c r="N6" s="24">
        <v>260.56</v>
      </c>
      <c r="O6" s="24">
        <v>289.0</v>
      </c>
      <c r="P6" s="25">
        <v>284.491</v>
      </c>
      <c r="Q6" s="146">
        <v>27.359</v>
      </c>
      <c r="R6" s="147">
        <v>27.263</v>
      </c>
      <c r="S6" s="147">
        <v>27.508</v>
      </c>
      <c r="T6" s="147">
        <v>27.377</v>
      </c>
      <c r="U6" s="147">
        <v>0.124</v>
      </c>
      <c r="V6" s="147">
        <v>3617.973</v>
      </c>
      <c r="W6" s="147">
        <v>3852.535</v>
      </c>
      <c r="X6" s="149">
        <v>3281.282</v>
      </c>
      <c r="Y6" s="151">
        <v>30.87439727783203</v>
      </c>
      <c r="Z6" s="152">
        <v>30.609296798706055</v>
      </c>
      <c r="AA6" s="152">
        <v>30.777742385864258</v>
      </c>
      <c r="AB6" s="152">
        <v>30.753813</v>
      </c>
      <c r="AC6" s="152">
        <v>0.13416056</v>
      </c>
      <c r="AD6" s="152">
        <v>392.8505</v>
      </c>
      <c r="AE6" s="152">
        <v>467.81287</v>
      </c>
      <c r="AF6" s="154">
        <v>418.67798</v>
      </c>
    </row>
    <row r="7" ht="14.25" customHeight="1">
      <c r="A7" s="155">
        <v>44651.0</v>
      </c>
      <c r="B7" s="89" t="s">
        <v>16</v>
      </c>
      <c r="C7" s="90" t="s">
        <v>17</v>
      </c>
      <c r="D7" s="90" t="s">
        <v>18</v>
      </c>
      <c r="E7" s="90">
        <v>1.6</v>
      </c>
      <c r="F7" s="90"/>
      <c r="G7" s="156" t="s">
        <v>24</v>
      </c>
      <c r="H7" s="19">
        <v>66.6</v>
      </c>
      <c r="I7" s="31">
        <v>28.26991</v>
      </c>
      <c r="J7" s="24">
        <v>28.711771</v>
      </c>
      <c r="K7" s="24">
        <v>28.568481</v>
      </c>
      <c r="L7" s="24">
        <v>28.516721725463867</v>
      </c>
      <c r="M7" s="24">
        <v>0.22543172538280487</v>
      </c>
      <c r="N7" s="24">
        <v>2352.798583984375</v>
      </c>
      <c r="O7" s="24">
        <v>1799.0321044921875</v>
      </c>
      <c r="P7" s="25">
        <v>1962.6064453125</v>
      </c>
      <c r="Q7" s="31">
        <v>18.680689</v>
      </c>
      <c r="R7" s="24">
        <v>18.526127</v>
      </c>
      <c r="S7" s="24">
        <v>18.744196</v>
      </c>
      <c r="T7" s="24">
        <v>18.65033721923828</v>
      </c>
      <c r="U7" s="24">
        <v>0.11215813457965851</v>
      </c>
      <c r="V7" s="24">
        <v>5.02901E7</v>
      </c>
      <c r="W7" s="24">
        <v>5.7653636E7</v>
      </c>
      <c r="X7" s="25">
        <v>4.7544348E7</v>
      </c>
      <c r="Y7" s="31">
        <v>28.235004</v>
      </c>
      <c r="Z7" s="24">
        <v>28.450602</v>
      </c>
      <c r="AA7" s="24">
        <v>28.430761</v>
      </c>
      <c r="AB7" s="24">
        <v>28.372121810913086</v>
      </c>
      <c r="AC7" s="24">
        <v>0.11916133016347885</v>
      </c>
      <c r="AD7" s="24">
        <v>2986.1982421875</v>
      </c>
      <c r="AE7" s="24">
        <v>2604.44775390625</v>
      </c>
      <c r="AF7" s="25">
        <v>2637.4375</v>
      </c>
    </row>
    <row r="8" ht="14.25" customHeight="1">
      <c r="A8" s="17">
        <v>44652.0</v>
      </c>
      <c r="B8" s="18" t="s">
        <v>20</v>
      </c>
      <c r="C8" s="1" t="s">
        <v>17</v>
      </c>
      <c r="D8" s="1" t="s">
        <v>18</v>
      </c>
      <c r="E8" s="1">
        <v>1.6</v>
      </c>
      <c r="G8" s="156" t="s">
        <v>24</v>
      </c>
      <c r="H8" s="30">
        <v>69.4</v>
      </c>
      <c r="I8" s="31">
        <v>29.495111</v>
      </c>
      <c r="J8" s="24">
        <v>29.440916</v>
      </c>
      <c r="K8" s="24">
        <v>29.49328</v>
      </c>
      <c r="L8" s="24">
        <v>29.4764347076416</v>
      </c>
      <c r="M8" s="24">
        <v>0.03077477216720581</v>
      </c>
      <c r="N8" s="24">
        <v>1117.9532470703125</v>
      </c>
      <c r="O8" s="24">
        <v>1155.3626708984375</v>
      </c>
      <c r="P8" s="25">
        <v>1119.1971435546875</v>
      </c>
      <c r="Q8" s="31">
        <v>19.217354</v>
      </c>
      <c r="R8" s="24">
        <v>19.152561</v>
      </c>
      <c r="S8" s="24">
        <v>19.158745</v>
      </c>
      <c r="T8" s="24">
        <v>19.176219940185547</v>
      </c>
      <c r="U8" s="24">
        <v>0.0357569083571434</v>
      </c>
      <c r="V8" s="24">
        <v>3.1291726E7</v>
      </c>
      <c r="W8" s="24">
        <v>3.3136506E7</v>
      </c>
      <c r="X8" s="25">
        <v>3.2955848E7</v>
      </c>
      <c r="Y8" s="31">
        <v>29.039104</v>
      </c>
      <c r="Z8" s="24">
        <v>28.811398</v>
      </c>
      <c r="AA8" s="24">
        <v>28.934824</v>
      </c>
      <c r="AB8" s="24">
        <v>28.928442001342773</v>
      </c>
      <c r="AC8" s="24">
        <v>0.1139875277876854</v>
      </c>
      <c r="AD8" s="24">
        <v>1792.944580078125</v>
      </c>
      <c r="AE8" s="24">
        <v>2071.602294921875</v>
      </c>
      <c r="AF8" s="25">
        <v>1915.5743408203125</v>
      </c>
    </row>
    <row r="9" ht="14.25" customHeight="1">
      <c r="A9" s="17" t="s">
        <v>25</v>
      </c>
      <c r="B9" s="18" t="s">
        <v>26</v>
      </c>
      <c r="G9" s="156" t="s">
        <v>24</v>
      </c>
      <c r="H9" s="30">
        <v>0.0</v>
      </c>
      <c r="I9" s="31" t="s">
        <v>27</v>
      </c>
      <c r="J9" s="24" t="s">
        <v>27</v>
      </c>
      <c r="K9" s="24" t="s">
        <v>27</v>
      </c>
      <c r="L9" s="24"/>
      <c r="M9" s="24"/>
      <c r="N9" s="24"/>
      <c r="O9" s="24"/>
      <c r="P9" s="25"/>
      <c r="Q9" s="31" t="s">
        <v>27</v>
      </c>
      <c r="R9" s="24" t="s">
        <v>27</v>
      </c>
      <c r="S9" s="24" t="s">
        <v>27</v>
      </c>
      <c r="T9" s="24"/>
      <c r="U9" s="24"/>
      <c r="V9" s="24"/>
      <c r="W9" s="24"/>
      <c r="X9" s="25"/>
      <c r="Y9" s="31" t="s">
        <v>27</v>
      </c>
      <c r="Z9" s="24" t="s">
        <v>27</v>
      </c>
      <c r="AA9" s="24" t="s">
        <v>27</v>
      </c>
      <c r="AB9" s="24"/>
      <c r="AC9" s="24"/>
      <c r="AD9" s="24"/>
      <c r="AE9" s="24"/>
      <c r="AF9" s="25"/>
    </row>
    <row r="10" ht="14.25" customHeight="1">
      <c r="A10" s="17">
        <v>44653.0</v>
      </c>
      <c r="B10" s="18" t="s">
        <v>21</v>
      </c>
      <c r="C10" s="1" t="s">
        <v>17</v>
      </c>
      <c r="D10" s="1" t="s">
        <v>18</v>
      </c>
      <c r="E10" s="1">
        <v>1.6</v>
      </c>
      <c r="G10" s="1" t="s">
        <v>28</v>
      </c>
      <c r="H10" s="30">
        <v>59.4</v>
      </c>
      <c r="I10" s="31">
        <v>22.937843</v>
      </c>
      <c r="J10" s="24">
        <v>22.965258</v>
      </c>
      <c r="K10" s="24">
        <v>22.979252</v>
      </c>
      <c r="L10" s="24">
        <v>22.960784912109375</v>
      </c>
      <c r="M10" s="24">
        <v>0.02106359601020813</v>
      </c>
      <c r="N10" s="24">
        <v>59976.38671875</v>
      </c>
      <c r="O10" s="24">
        <v>58986.06640625</v>
      </c>
      <c r="P10" s="25">
        <v>58486.859375</v>
      </c>
      <c r="Q10" s="31">
        <v>19.787014</v>
      </c>
      <c r="R10" s="24">
        <v>19.72716</v>
      </c>
      <c r="S10" s="24">
        <v>19.716866</v>
      </c>
      <c r="T10" s="24">
        <v>19.74367904663086</v>
      </c>
      <c r="U10" s="24">
        <v>0.037879932671785355</v>
      </c>
      <c r="V10" s="24">
        <v>1.8910718E7</v>
      </c>
      <c r="W10" s="24">
        <v>1.9938348E7</v>
      </c>
      <c r="X10" s="25">
        <v>2.012063E7</v>
      </c>
      <c r="Y10" s="31">
        <v>28.02716</v>
      </c>
      <c r="Z10" s="24">
        <v>27.973473</v>
      </c>
      <c r="AA10" s="24">
        <v>28.076283</v>
      </c>
      <c r="AB10" s="24">
        <v>28.0256404876709</v>
      </c>
      <c r="AC10" s="24">
        <v>0.05142185091972351</v>
      </c>
      <c r="AD10" s="24">
        <v>3407.103515625</v>
      </c>
      <c r="AE10" s="24">
        <v>3525.15234375</v>
      </c>
      <c r="AF10" s="25">
        <v>3302.5615234375</v>
      </c>
    </row>
    <row r="11" ht="14.25" customHeight="1">
      <c r="A11" s="17">
        <v>44654.0</v>
      </c>
      <c r="B11" s="18" t="s">
        <v>22</v>
      </c>
      <c r="C11" s="1" t="s">
        <v>17</v>
      </c>
      <c r="D11" s="1" t="s">
        <v>18</v>
      </c>
      <c r="E11" s="1">
        <v>1.6</v>
      </c>
      <c r="F11" s="1" t="s">
        <v>29</v>
      </c>
      <c r="G11" s="1" t="s">
        <v>28</v>
      </c>
      <c r="H11" s="30">
        <v>0.993</v>
      </c>
      <c r="I11" s="31">
        <v>30.61703</v>
      </c>
      <c r="J11" s="24">
        <v>30.710367</v>
      </c>
      <c r="K11" s="24">
        <v>30.540243</v>
      </c>
      <c r="L11" s="24">
        <v>30.62254524230957</v>
      </c>
      <c r="M11" s="24">
        <v>0.0851961225271225</v>
      </c>
      <c r="N11" s="24">
        <v>565.5938110351562</v>
      </c>
      <c r="O11" s="24">
        <v>534.423583984375</v>
      </c>
      <c r="P11" s="25">
        <v>592.5948486328125</v>
      </c>
      <c r="Q11" s="31">
        <v>26.574636</v>
      </c>
      <c r="R11" s="24">
        <v>26.642433</v>
      </c>
      <c r="S11" s="24">
        <v>26.620953</v>
      </c>
      <c r="T11" s="24">
        <v>26.612672805786133</v>
      </c>
      <c r="U11" s="24">
        <v>0.034648217260837555</v>
      </c>
      <c r="V11" s="24">
        <v>46837.59375</v>
      </c>
      <c r="W11" s="24">
        <v>44112.734375</v>
      </c>
      <c r="X11" s="25">
        <v>44958.4609375</v>
      </c>
      <c r="Y11" s="31">
        <v>29.489687</v>
      </c>
      <c r="Z11" s="24">
        <v>29.690447</v>
      </c>
      <c r="AA11" s="24">
        <v>29.53614</v>
      </c>
      <c r="AB11" s="24">
        <v>29.57209014892578</v>
      </c>
      <c r="AC11" s="24">
        <v>0.10509751737117767</v>
      </c>
      <c r="AD11" s="24">
        <v>1347.1591796875</v>
      </c>
      <c r="AE11" s="24">
        <v>1186.0528564453125</v>
      </c>
      <c r="AF11" s="25">
        <v>1308.0360107421875</v>
      </c>
    </row>
    <row r="12" ht="14.25" customHeight="1">
      <c r="A12" s="17">
        <v>44659.0</v>
      </c>
      <c r="B12" s="18" t="s">
        <v>16</v>
      </c>
      <c r="C12" s="1" t="s">
        <v>17</v>
      </c>
      <c r="D12" s="1" t="s">
        <v>18</v>
      </c>
      <c r="E12" s="1">
        <v>1.6</v>
      </c>
      <c r="G12" s="161" t="s">
        <v>28</v>
      </c>
      <c r="H12" s="30">
        <v>53.4</v>
      </c>
      <c r="I12" s="31">
        <v>30.218195</v>
      </c>
      <c r="J12" s="24">
        <v>30.4119</v>
      </c>
      <c r="K12" s="24">
        <v>30.389261</v>
      </c>
      <c r="L12" s="24">
        <v>30.339784622192383</v>
      </c>
      <c r="M12" s="24">
        <v>0.1059069111943245</v>
      </c>
      <c r="N12" s="24">
        <v>720.6126098632812</v>
      </c>
      <c r="O12" s="24">
        <v>640.6339721679688</v>
      </c>
      <c r="P12" s="25">
        <v>649.5029296875</v>
      </c>
      <c r="Q12" s="31">
        <v>24.361212</v>
      </c>
      <c r="R12" s="24">
        <v>24.284937</v>
      </c>
      <c r="S12" s="24">
        <v>24.350039</v>
      </c>
      <c r="T12" s="24">
        <v>24.332061767578125</v>
      </c>
      <c r="U12" s="24">
        <v>0.041192471981048584</v>
      </c>
      <c r="V12" s="24">
        <v>331467.4375</v>
      </c>
      <c r="W12" s="24">
        <v>354590.15625</v>
      </c>
      <c r="X12" s="25">
        <v>334757.90625</v>
      </c>
      <c r="Y12" s="31">
        <v>28.973621</v>
      </c>
      <c r="Z12" s="24">
        <v>29.074467</v>
      </c>
      <c r="AA12" s="24">
        <v>28.91134</v>
      </c>
      <c r="AB12" s="24">
        <v>28.986474990844727</v>
      </c>
      <c r="AC12" s="24">
        <v>0.0823192447423935</v>
      </c>
      <c r="AD12" s="24">
        <v>1868.999755859375</v>
      </c>
      <c r="AE12" s="24">
        <v>1753.168212890625</v>
      </c>
      <c r="AF12" s="25">
        <v>1944.326904296875</v>
      </c>
    </row>
    <row r="13" ht="14.25" customHeight="1">
      <c r="A13" s="17" t="s">
        <v>31</v>
      </c>
      <c r="B13" s="18" t="s">
        <v>26</v>
      </c>
      <c r="G13" s="1" t="s">
        <v>28</v>
      </c>
      <c r="H13" s="30">
        <v>0.0</v>
      </c>
      <c r="I13" s="31" t="s">
        <v>27</v>
      </c>
      <c r="J13" s="24" t="s">
        <v>27</v>
      </c>
      <c r="K13" s="24" t="s">
        <v>27</v>
      </c>
      <c r="L13" s="24"/>
      <c r="M13" s="24"/>
      <c r="N13" s="24"/>
      <c r="O13" s="24"/>
      <c r="P13" s="25"/>
      <c r="Q13" s="31" t="s">
        <v>27</v>
      </c>
      <c r="R13" s="24" t="s">
        <v>27</v>
      </c>
      <c r="S13" s="24" t="s">
        <v>27</v>
      </c>
      <c r="T13" s="24"/>
      <c r="U13" s="24"/>
      <c r="V13" s="24"/>
      <c r="W13" s="24"/>
      <c r="X13" s="25"/>
      <c r="Y13" s="31" t="s">
        <v>27</v>
      </c>
      <c r="Z13" s="24" t="s">
        <v>27</v>
      </c>
      <c r="AA13" s="24" t="s">
        <v>27</v>
      </c>
      <c r="AB13" s="24"/>
      <c r="AC13" s="24"/>
      <c r="AD13" s="24"/>
      <c r="AE13" s="24"/>
      <c r="AF13" s="25"/>
    </row>
    <row r="14" ht="14.25" customHeight="1">
      <c r="A14" s="17">
        <v>44660.0</v>
      </c>
      <c r="B14" s="18" t="s">
        <v>20</v>
      </c>
      <c r="C14" s="1" t="s">
        <v>17</v>
      </c>
      <c r="D14" s="1" t="s">
        <v>18</v>
      </c>
      <c r="E14" s="1">
        <v>1.6</v>
      </c>
      <c r="G14" s="1" t="s">
        <v>35</v>
      </c>
      <c r="H14" s="30">
        <v>62.4</v>
      </c>
      <c r="I14" s="31">
        <v>29.643421</v>
      </c>
      <c r="J14" s="24">
        <v>29.636812</v>
      </c>
      <c r="K14" s="24">
        <v>29.692856</v>
      </c>
      <c r="L14" s="24">
        <v>29.65769386291504</v>
      </c>
      <c r="M14" s="24">
        <v>0.030627744272351265</v>
      </c>
      <c r="N14" s="24">
        <v>1021.6572265625</v>
      </c>
      <c r="O14" s="24">
        <v>1025.7662353515625</v>
      </c>
      <c r="P14" s="25">
        <v>991.4395141601562</v>
      </c>
      <c r="Q14" s="31">
        <v>22.265867</v>
      </c>
      <c r="R14" s="24">
        <v>22.365807</v>
      </c>
      <c r="S14" s="24">
        <v>22.331003</v>
      </c>
      <c r="T14" s="24">
        <v>22.320892333984375</v>
      </c>
      <c r="U14" s="24">
        <v>0.05073105916380882</v>
      </c>
      <c r="V14" s="24">
        <v>2113246.75</v>
      </c>
      <c r="W14" s="24">
        <v>1934543.0</v>
      </c>
      <c r="X14" s="25">
        <v>1994992.125</v>
      </c>
      <c r="Y14" s="31">
        <v>28.707094</v>
      </c>
      <c r="Z14" s="24">
        <v>28.837885</v>
      </c>
      <c r="AA14" s="24">
        <v>28.812672</v>
      </c>
      <c r="AB14" s="24">
        <v>28.7858829498291</v>
      </c>
      <c r="AC14" s="24">
        <v>0.06938841938972473</v>
      </c>
      <c r="AD14" s="24">
        <v>2213.3232421875</v>
      </c>
      <c r="AE14" s="24">
        <v>2037.08154296875</v>
      </c>
      <c r="AF14" s="25">
        <v>2069.928466796875</v>
      </c>
    </row>
    <row r="15" ht="14.25" customHeight="1">
      <c r="A15" s="17">
        <v>44661.0</v>
      </c>
      <c r="B15" s="18" t="s">
        <v>21</v>
      </c>
      <c r="C15" s="1" t="s">
        <v>17</v>
      </c>
      <c r="D15" s="1" t="s">
        <v>18</v>
      </c>
      <c r="E15" s="1">
        <v>1.6</v>
      </c>
      <c r="G15" s="1" t="s">
        <v>35</v>
      </c>
      <c r="H15" s="30">
        <v>54.8</v>
      </c>
      <c r="I15" s="31">
        <v>29.793955</v>
      </c>
      <c r="J15" s="24">
        <v>29.69598</v>
      </c>
      <c r="K15" s="24">
        <v>29.984804</v>
      </c>
      <c r="L15" s="24">
        <v>29.824913024902344</v>
      </c>
      <c r="M15" s="24">
        <v>0.14687968790531158</v>
      </c>
      <c r="N15" s="24">
        <v>932.3955078125</v>
      </c>
      <c r="O15" s="24">
        <v>989.5601196289062</v>
      </c>
      <c r="P15" s="25">
        <v>830.3504638671875</v>
      </c>
      <c r="Q15" s="31">
        <v>25.323893</v>
      </c>
      <c r="R15" s="24">
        <v>25.369528</v>
      </c>
      <c r="S15" s="24">
        <v>25.319208</v>
      </c>
      <c r="T15" s="24">
        <v>25.337541580200195</v>
      </c>
      <c r="U15" s="24">
        <v>0.027798641473054886</v>
      </c>
      <c r="V15" s="24">
        <v>141520.296875</v>
      </c>
      <c r="W15" s="24">
        <v>135924.28125</v>
      </c>
      <c r="X15" s="25">
        <v>142107.609375</v>
      </c>
      <c r="Y15" s="31">
        <v>28.696156</v>
      </c>
      <c r="Z15" s="24">
        <v>28.208061</v>
      </c>
      <c r="AA15" s="24">
        <v>28.370226</v>
      </c>
      <c r="AB15" s="24">
        <v>28.424814224243164</v>
      </c>
      <c r="AC15" s="24">
        <v>0.2485838532447815</v>
      </c>
      <c r="AD15" s="24">
        <v>2228.736572265625</v>
      </c>
      <c r="AE15" s="24">
        <v>3037.681396484375</v>
      </c>
      <c r="AF15" s="25">
        <v>2740.69921875</v>
      </c>
    </row>
    <row r="16" ht="14.25" customHeight="1">
      <c r="A16" s="17">
        <v>44667.0</v>
      </c>
      <c r="B16" s="18" t="s">
        <v>22</v>
      </c>
      <c r="C16" s="1" t="s">
        <v>17</v>
      </c>
      <c r="D16" s="1" t="s">
        <v>18</v>
      </c>
      <c r="E16" s="1">
        <v>1.6</v>
      </c>
      <c r="F16" s="1" t="s">
        <v>39</v>
      </c>
      <c r="G16" s="1" t="s">
        <v>35</v>
      </c>
      <c r="H16" s="30">
        <v>0.448</v>
      </c>
      <c r="I16" s="31">
        <v>31.980057</v>
      </c>
      <c r="J16" s="24">
        <v>32.269688</v>
      </c>
      <c r="K16" s="24">
        <v>32.036457</v>
      </c>
      <c r="L16" s="24">
        <v>32.095401763916016</v>
      </c>
      <c r="M16" s="24">
        <v>0.15354888141155243</v>
      </c>
      <c r="N16" s="24">
        <v>247.16676330566406</v>
      </c>
      <c r="O16" s="24">
        <v>207.2986602783203</v>
      </c>
      <c r="P16" s="25">
        <v>238.84371948242188</v>
      </c>
      <c r="Q16" s="31">
        <v>30.408072</v>
      </c>
      <c r="R16" s="24">
        <v>30.3242</v>
      </c>
      <c r="S16" s="24">
        <v>30.378798</v>
      </c>
      <c r="T16" s="24">
        <v>30.3703556060791</v>
      </c>
      <c r="U16" s="24">
        <v>0.04256833344697952</v>
      </c>
      <c r="V16" s="24">
        <v>1580.31591796875</v>
      </c>
      <c r="W16" s="24">
        <v>1701.9490966796875</v>
      </c>
      <c r="X16" s="25">
        <v>1621.7491455078125</v>
      </c>
      <c r="Y16" s="31">
        <v>33.522923</v>
      </c>
      <c r="Z16" s="24">
        <v>33.257874</v>
      </c>
      <c r="AA16" s="24">
        <v>33.09533</v>
      </c>
      <c r="AB16" s="24">
        <v>33.29204177856445</v>
      </c>
      <c r="AC16" s="24">
        <v>0.21583464741706848</v>
      </c>
      <c r="AD16" s="24">
        <v>104.26800537109375</v>
      </c>
      <c r="AE16" s="24">
        <v>123.3614273071289</v>
      </c>
      <c r="AF16" s="25">
        <v>136.76181030273438</v>
      </c>
    </row>
    <row r="17" ht="14.25" customHeight="1">
      <c r="A17" s="46" t="s">
        <v>40</v>
      </c>
      <c r="B17" s="47" t="s">
        <v>26</v>
      </c>
      <c r="C17" s="48"/>
      <c r="D17" s="48"/>
      <c r="E17" s="48"/>
      <c r="F17" s="48"/>
      <c r="G17" s="48" t="s">
        <v>35</v>
      </c>
      <c r="H17" s="49">
        <v>0.0</v>
      </c>
      <c r="I17" s="31" t="s">
        <v>27</v>
      </c>
      <c r="J17" s="24" t="s">
        <v>27</v>
      </c>
      <c r="K17" s="24" t="s">
        <v>27</v>
      </c>
      <c r="L17" s="24"/>
      <c r="M17" s="24"/>
      <c r="N17" s="24"/>
      <c r="O17" s="24"/>
      <c r="P17" s="25"/>
      <c r="Q17" s="31" t="s">
        <v>27</v>
      </c>
      <c r="R17" s="24" t="s">
        <v>27</v>
      </c>
      <c r="S17" s="24" t="s">
        <v>27</v>
      </c>
      <c r="T17" s="24"/>
      <c r="U17" s="24"/>
      <c r="V17" s="24"/>
      <c r="W17" s="24"/>
      <c r="X17" s="25"/>
      <c r="Y17" s="31" t="s">
        <v>27</v>
      </c>
      <c r="Z17" s="24" t="s">
        <v>27</v>
      </c>
      <c r="AA17" s="24" t="s">
        <v>27</v>
      </c>
      <c r="AB17" s="24"/>
      <c r="AC17" s="24"/>
      <c r="AD17" s="24"/>
      <c r="AE17" s="24"/>
      <c r="AF17" s="25"/>
    </row>
    <row r="18" ht="14.25" customHeight="1">
      <c r="A18" s="1">
        <v>44668.0</v>
      </c>
      <c r="B18" s="18" t="s">
        <v>16</v>
      </c>
      <c r="C18" s="1" t="s">
        <v>17</v>
      </c>
      <c r="D18" s="1" t="s">
        <v>18</v>
      </c>
      <c r="E18" s="1">
        <v>1.6</v>
      </c>
      <c r="G18" s="1" t="s">
        <v>43</v>
      </c>
      <c r="H18" s="24">
        <v>47.6</v>
      </c>
      <c r="I18" s="137">
        <v>30.616999</v>
      </c>
      <c r="J18" s="110">
        <v>31.081608</v>
      </c>
      <c r="K18" s="110">
        <v>30.955273</v>
      </c>
      <c r="L18" s="24">
        <v>30.884626388549805</v>
      </c>
      <c r="M18" s="24">
        <v>0.2402261197566986</v>
      </c>
      <c r="N18" s="110">
        <v>531.6332397460938</v>
      </c>
      <c r="O18" s="110">
        <v>387.68084716796875</v>
      </c>
      <c r="P18" s="138">
        <v>422.4394226074219</v>
      </c>
      <c r="Q18" s="137">
        <v>20.359411</v>
      </c>
      <c r="R18" s="110">
        <v>20.5111</v>
      </c>
      <c r="S18" s="110">
        <v>20.338892</v>
      </c>
      <c r="T18" s="24">
        <v>20.403135299682617</v>
      </c>
      <c r="U18" s="24">
        <v>0.09406258165836334</v>
      </c>
      <c r="V18" s="110">
        <v>2669118.25</v>
      </c>
      <c r="W18" s="110">
        <v>2375789.75</v>
      </c>
      <c r="X18" s="138">
        <v>2711484.5</v>
      </c>
      <c r="Y18" s="137">
        <v>28.817122</v>
      </c>
      <c r="Z18" s="110">
        <v>28.950857</v>
      </c>
      <c r="AA18" s="110">
        <v>29.09002</v>
      </c>
      <c r="AB18" s="24">
        <v>28.952667236328125</v>
      </c>
      <c r="AC18" s="24">
        <v>0.13645784556865692</v>
      </c>
      <c r="AD18" s="110">
        <v>2537.860107421875</v>
      </c>
      <c r="AE18" s="110">
        <v>2321.488525390625</v>
      </c>
      <c r="AF18" s="138">
        <v>2115.899658203125</v>
      </c>
    </row>
    <row r="19" ht="14.25" customHeight="1">
      <c r="A19" s="1">
        <v>44669.0</v>
      </c>
      <c r="B19" s="18" t="s">
        <v>20</v>
      </c>
      <c r="C19" s="1" t="s">
        <v>17</v>
      </c>
      <c r="D19" s="1" t="s">
        <v>18</v>
      </c>
      <c r="E19" s="1">
        <v>1.6</v>
      </c>
      <c r="G19" s="1" t="s">
        <v>43</v>
      </c>
      <c r="H19" s="24">
        <v>53.2</v>
      </c>
      <c r="I19" s="137">
        <v>30.791931</v>
      </c>
      <c r="J19" s="110">
        <v>30.697142</v>
      </c>
      <c r="K19" s="110">
        <v>30.96711</v>
      </c>
      <c r="L19" s="24">
        <v>30.818727493286133</v>
      </c>
      <c r="M19" s="24">
        <v>0.13696429133415222</v>
      </c>
      <c r="N19" s="110">
        <v>472.0387268066406</v>
      </c>
      <c r="O19" s="110">
        <v>503.4501647949219</v>
      </c>
      <c r="P19" s="138">
        <v>419.05450439453125</v>
      </c>
      <c r="Q19" s="137">
        <v>23.859364</v>
      </c>
      <c r="R19" s="110">
        <v>23.782635</v>
      </c>
      <c r="S19" s="110">
        <v>23.85937</v>
      </c>
      <c r="T19" s="24">
        <v>23.833791732788086</v>
      </c>
      <c r="U19" s="24">
        <v>0.04430105909705162</v>
      </c>
      <c r="V19" s="110">
        <v>181884.140625</v>
      </c>
      <c r="W19" s="110">
        <v>192916.515625</v>
      </c>
      <c r="X19" s="138">
        <v>181883.34375</v>
      </c>
      <c r="Y19" s="137">
        <v>29.638397</v>
      </c>
      <c r="Z19" s="110">
        <v>29.439259</v>
      </c>
      <c r="AA19" s="110">
        <v>29.577253</v>
      </c>
      <c r="AB19" s="24">
        <v>29.5516357421875</v>
      </c>
      <c r="AC19" s="24">
        <v>0.10201089084148407</v>
      </c>
      <c r="AD19" s="110">
        <v>1468.2584228515625</v>
      </c>
      <c r="AE19" s="110">
        <v>1676.603271484375</v>
      </c>
      <c r="AF19" s="138">
        <v>1529.31396484375</v>
      </c>
    </row>
    <row r="20" ht="14.25" customHeight="1">
      <c r="A20" s="1">
        <v>44670.0</v>
      </c>
      <c r="B20" s="18" t="s">
        <v>21</v>
      </c>
      <c r="C20" s="1" t="s">
        <v>17</v>
      </c>
      <c r="D20" s="1" t="s">
        <v>18</v>
      </c>
      <c r="E20" s="1">
        <v>1.6</v>
      </c>
      <c r="G20" s="1" t="s">
        <v>43</v>
      </c>
      <c r="H20" s="24">
        <v>44.8</v>
      </c>
      <c r="I20" s="137">
        <v>30.854834</v>
      </c>
      <c r="J20" s="110">
        <v>30.969257</v>
      </c>
      <c r="K20" s="110">
        <v>31.05982</v>
      </c>
      <c r="L20" s="24">
        <v>30.9613037109375</v>
      </c>
      <c r="M20" s="24">
        <v>0.10272447764873505</v>
      </c>
      <c r="N20" s="110">
        <v>452.2835998535156</v>
      </c>
      <c r="O20" s="110">
        <v>418.44329833984375</v>
      </c>
      <c r="P20" s="138">
        <v>393.4643249511719</v>
      </c>
      <c r="Q20" s="137">
        <v>22.368885</v>
      </c>
      <c r="R20" s="110">
        <v>22.342028</v>
      </c>
      <c r="S20" s="110">
        <v>22.407743</v>
      </c>
      <c r="T20" s="24">
        <v>22.37288475036621</v>
      </c>
      <c r="U20" s="24">
        <v>0.03304002806544304</v>
      </c>
      <c r="V20" s="110">
        <v>570936.625</v>
      </c>
      <c r="W20" s="110">
        <v>582827.125</v>
      </c>
      <c r="X20" s="138">
        <v>554161.0</v>
      </c>
      <c r="Y20" s="137">
        <v>29.408981</v>
      </c>
      <c r="Z20" s="110">
        <v>29.444334</v>
      </c>
      <c r="AA20" s="110">
        <v>29.224438</v>
      </c>
      <c r="AB20" s="24">
        <v>29.359251022338867</v>
      </c>
      <c r="AC20" s="24">
        <v>0.11808227747678757</v>
      </c>
      <c r="AD20" s="110">
        <v>1710.77197265625</v>
      </c>
      <c r="AE20" s="110">
        <v>1670.9427490234375</v>
      </c>
      <c r="AF20" s="138">
        <v>1934.6229248046875</v>
      </c>
    </row>
    <row r="21" ht="14.25" customHeight="1">
      <c r="A21" s="1">
        <v>44671.0</v>
      </c>
      <c r="B21" s="18" t="s">
        <v>22</v>
      </c>
      <c r="C21" s="1" t="s">
        <v>17</v>
      </c>
      <c r="D21" s="1" t="s">
        <v>18</v>
      </c>
      <c r="E21" s="1">
        <v>1.3</v>
      </c>
      <c r="G21" s="1" t="s">
        <v>43</v>
      </c>
      <c r="H21" s="24">
        <v>0.492</v>
      </c>
      <c r="I21" s="192">
        <v>33.030014</v>
      </c>
      <c r="J21" s="193">
        <v>32.838615</v>
      </c>
      <c r="K21" s="193">
        <v>32.864277</v>
      </c>
      <c r="L21" s="51">
        <v>32.91096878051758</v>
      </c>
      <c r="M21" s="51">
        <v>0.10389156639575958</v>
      </c>
      <c r="N21" s="193">
        <v>103.12571716308594</v>
      </c>
      <c r="O21" s="193">
        <v>117.45235443115234</v>
      </c>
      <c r="P21" s="196">
        <v>115.4216537475586</v>
      </c>
      <c r="Q21" s="192">
        <v>32.052746</v>
      </c>
      <c r="R21" s="193">
        <v>32.069504</v>
      </c>
      <c r="S21" s="193">
        <v>31.81593</v>
      </c>
      <c r="T21" s="51">
        <v>31.979393005371094</v>
      </c>
      <c r="U21" s="51">
        <v>0.14181137084960938</v>
      </c>
      <c r="V21" s="193">
        <v>337.94769287109375</v>
      </c>
      <c r="W21" s="193">
        <v>333.6290588378906</v>
      </c>
      <c r="X21" s="196">
        <v>405.30596923828125</v>
      </c>
      <c r="Y21" s="192">
        <v>34.13808</v>
      </c>
      <c r="Z21" s="193">
        <v>34.683857</v>
      </c>
      <c r="AA21" s="193">
        <v>34.63725</v>
      </c>
      <c r="AB21" s="51">
        <v>34.486392974853516</v>
      </c>
      <c r="AC21" s="51">
        <v>0.3025484085083008</v>
      </c>
      <c r="AD21" s="193">
        <v>73.2251205444336</v>
      </c>
      <c r="AE21" s="193">
        <v>50.900306701660156</v>
      </c>
      <c r="AF21" s="196">
        <v>52.50589370727539</v>
      </c>
    </row>
    <row r="22" ht="14.25" customHeight="1">
      <c r="A22" s="17"/>
      <c r="B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4"/>
      <c r="T22" s="24"/>
      <c r="U22" s="24"/>
      <c r="V22" s="24"/>
      <c r="W22" s="24"/>
      <c r="X22" s="18"/>
      <c r="Y22" s="18"/>
      <c r="Z22" s="18"/>
      <c r="AA22" s="24"/>
      <c r="AB22" s="24"/>
      <c r="AC22" s="24"/>
      <c r="AD22" s="24"/>
      <c r="AE22" s="24"/>
    </row>
    <row r="23" ht="14.25" customHeight="1"/>
    <row r="24" ht="14.25" customHeight="1"/>
    <row r="25" ht="14.25" customHeight="1"/>
    <row r="26" ht="14.25" customHeight="1">
      <c r="A26" s="4" t="s">
        <v>0</v>
      </c>
      <c r="B26" s="4" t="s">
        <v>2</v>
      </c>
      <c r="C26" s="5" t="s">
        <v>3</v>
      </c>
      <c r="D26" s="5" t="s">
        <v>165</v>
      </c>
      <c r="E26" s="5" t="s">
        <v>4</v>
      </c>
      <c r="F26" s="6" t="s">
        <v>5</v>
      </c>
      <c r="G26" s="5" t="s">
        <v>166</v>
      </c>
      <c r="H26" s="7" t="s">
        <v>38</v>
      </c>
      <c r="I26" s="136" t="s">
        <v>7</v>
      </c>
      <c r="J26" s="201" t="s">
        <v>8</v>
      </c>
      <c r="K26" s="84" t="s">
        <v>9</v>
      </c>
      <c r="L26" s="84" t="s">
        <v>10</v>
      </c>
      <c r="M26" s="84" t="s">
        <v>72</v>
      </c>
      <c r="N26" s="84" t="s">
        <v>73</v>
      </c>
      <c r="O26" s="84" t="s">
        <v>74</v>
      </c>
      <c r="P26" s="84" t="s">
        <v>11</v>
      </c>
      <c r="Q26" s="84" t="s">
        <v>12</v>
      </c>
      <c r="R26" s="173" t="s">
        <v>169</v>
      </c>
    </row>
    <row r="27" ht="14.25" customHeight="1">
      <c r="A27" s="204" t="s">
        <v>170</v>
      </c>
      <c r="B27" s="204" t="s">
        <v>171</v>
      </c>
      <c r="C27" s="1" t="s">
        <v>172</v>
      </c>
      <c r="D27" s="1" t="s">
        <v>174</v>
      </c>
      <c r="E27" s="1" t="s">
        <v>175</v>
      </c>
      <c r="F27" s="1" t="s">
        <v>176</v>
      </c>
      <c r="H27" s="1" t="s">
        <v>177</v>
      </c>
      <c r="I27" s="24">
        <v>0.0</v>
      </c>
      <c r="J27" s="205" t="s">
        <v>27</v>
      </c>
      <c r="K27" s="206" t="s">
        <v>27</v>
      </c>
      <c r="L27" s="206" t="s">
        <v>27</v>
      </c>
      <c r="M27" s="206" t="s">
        <v>27</v>
      </c>
      <c r="N27" s="206" t="s">
        <v>27</v>
      </c>
      <c r="O27" s="206" t="s">
        <v>27</v>
      </c>
      <c r="P27" s="3"/>
      <c r="Q27" s="3"/>
      <c r="R27" s="18" t="s">
        <v>180</v>
      </c>
    </row>
    <row r="28" ht="14.25" customHeight="1">
      <c r="A28" s="204" t="s">
        <v>181</v>
      </c>
      <c r="B28" s="204" t="s">
        <v>183</v>
      </c>
      <c r="C28" s="1" t="s">
        <v>172</v>
      </c>
      <c r="D28" s="1" t="s">
        <v>174</v>
      </c>
      <c r="E28" s="1" t="s">
        <v>175</v>
      </c>
      <c r="F28" s="1" t="s">
        <v>176</v>
      </c>
      <c r="H28" s="1" t="s">
        <v>177</v>
      </c>
      <c r="I28" s="24">
        <v>10.0</v>
      </c>
      <c r="J28" s="207">
        <v>36.736687</v>
      </c>
      <c r="K28" s="208">
        <v>36.03947</v>
      </c>
      <c r="L28" s="208">
        <v>35.966915</v>
      </c>
      <c r="M28" s="206" t="s">
        <v>27</v>
      </c>
      <c r="N28" s="208">
        <v>35.378162</v>
      </c>
      <c r="O28" s="208">
        <v>36.64213</v>
      </c>
      <c r="P28" s="24">
        <v>36.152672800000005</v>
      </c>
      <c r="Q28" s="3"/>
      <c r="R28" s="18" t="s">
        <v>180</v>
      </c>
    </row>
    <row r="29" ht="14.25" customHeight="1">
      <c r="A29" s="204" t="s">
        <v>185</v>
      </c>
      <c r="B29" s="204" t="s">
        <v>183</v>
      </c>
      <c r="C29" s="1" t="s">
        <v>172</v>
      </c>
      <c r="D29" s="1" t="s">
        <v>174</v>
      </c>
      <c r="E29" s="1" t="s">
        <v>175</v>
      </c>
      <c r="F29" s="1" t="s">
        <v>176</v>
      </c>
      <c r="H29" s="1" t="s">
        <v>177</v>
      </c>
      <c r="I29" s="24">
        <v>9.87</v>
      </c>
      <c r="J29" s="207">
        <v>35.89466</v>
      </c>
      <c r="K29" s="206" t="s">
        <v>27</v>
      </c>
      <c r="L29" s="208">
        <v>35.768665</v>
      </c>
      <c r="M29" s="206" t="s">
        <v>27</v>
      </c>
      <c r="N29" s="208">
        <v>36.35021</v>
      </c>
      <c r="O29" s="208">
        <v>35.745564</v>
      </c>
      <c r="P29" s="24">
        <v>35.93977475</v>
      </c>
      <c r="Q29" s="3"/>
      <c r="R29" s="18" t="s">
        <v>180</v>
      </c>
    </row>
    <row r="30" ht="14.25" customHeight="1">
      <c r="A30" s="204" t="s">
        <v>189</v>
      </c>
      <c r="B30" s="204" t="s">
        <v>183</v>
      </c>
      <c r="C30" s="1" t="s">
        <v>172</v>
      </c>
      <c r="D30" s="1" t="s">
        <v>174</v>
      </c>
      <c r="E30" s="1" t="s">
        <v>175</v>
      </c>
      <c r="F30" s="1" t="s">
        <v>176</v>
      </c>
      <c r="H30" s="1" t="s">
        <v>177</v>
      </c>
      <c r="I30" s="24">
        <v>8.67</v>
      </c>
      <c r="J30" s="207">
        <v>37.705627</v>
      </c>
      <c r="K30" s="206" t="s">
        <v>27</v>
      </c>
      <c r="L30" s="208">
        <v>37.787334</v>
      </c>
      <c r="M30" s="206" t="s">
        <v>27</v>
      </c>
      <c r="N30" s="208">
        <v>36.118313</v>
      </c>
      <c r="O30" s="208">
        <v>36.74323</v>
      </c>
      <c r="P30" s="24">
        <v>37.088626000000005</v>
      </c>
      <c r="Q30" s="3"/>
      <c r="R30" s="18" t="s">
        <v>180</v>
      </c>
    </row>
    <row r="31" ht="14.25" customHeight="1">
      <c r="A31" s="204" t="s">
        <v>192</v>
      </c>
      <c r="B31" s="204" t="s">
        <v>183</v>
      </c>
      <c r="C31" s="1" t="s">
        <v>172</v>
      </c>
      <c r="D31" s="1" t="s">
        <v>174</v>
      </c>
      <c r="E31" s="1" t="s">
        <v>175</v>
      </c>
      <c r="F31" s="1" t="s">
        <v>176</v>
      </c>
      <c r="H31" s="1" t="s">
        <v>177</v>
      </c>
      <c r="I31" s="24">
        <v>7.0</v>
      </c>
      <c r="J31" s="207">
        <v>34.709793</v>
      </c>
      <c r="K31" s="208">
        <v>34.289368</v>
      </c>
      <c r="L31" s="208">
        <v>34.543568</v>
      </c>
      <c r="M31" s="208">
        <v>33.95112</v>
      </c>
      <c r="N31" s="208">
        <v>34.279907</v>
      </c>
      <c r="O31" s="208">
        <v>35.082394</v>
      </c>
      <c r="P31" s="24">
        <v>34.476025</v>
      </c>
      <c r="Q31" s="3"/>
      <c r="R31" s="18" t="s">
        <v>180</v>
      </c>
    </row>
    <row r="32" ht="14.25" customHeight="1">
      <c r="A32" s="211" t="s">
        <v>194</v>
      </c>
      <c r="B32" s="211" t="s">
        <v>183</v>
      </c>
      <c r="C32" s="48" t="s">
        <v>172</v>
      </c>
      <c r="D32" s="48" t="s">
        <v>174</v>
      </c>
      <c r="E32" s="48" t="s">
        <v>175</v>
      </c>
      <c r="F32" s="48" t="s">
        <v>176</v>
      </c>
      <c r="G32" s="48"/>
      <c r="H32" s="48" t="s">
        <v>177</v>
      </c>
      <c r="I32" s="51">
        <v>6.11</v>
      </c>
      <c r="J32" s="212">
        <v>34.745125</v>
      </c>
      <c r="K32" s="213">
        <v>37.76395</v>
      </c>
      <c r="L32" s="213">
        <v>36.113235</v>
      </c>
      <c r="M32" s="213">
        <v>35.24184</v>
      </c>
      <c r="N32" s="213">
        <v>37.692482</v>
      </c>
      <c r="O32" s="213">
        <v>36.832745</v>
      </c>
      <c r="P32" s="51">
        <v>36.39822949999999</v>
      </c>
      <c r="Q32" s="109"/>
      <c r="R32" s="47" t="s">
        <v>180</v>
      </c>
    </row>
    <row r="33" ht="14.25" customHeight="1">
      <c r="A33" s="204" t="s">
        <v>170</v>
      </c>
      <c r="B33" s="204" t="s">
        <v>198</v>
      </c>
      <c r="C33" s="1" t="s">
        <v>172</v>
      </c>
      <c r="D33" s="1" t="s">
        <v>174</v>
      </c>
      <c r="E33" s="1" t="s">
        <v>175</v>
      </c>
      <c r="F33" s="1" t="s">
        <v>176</v>
      </c>
      <c r="H33" s="1" t="s">
        <v>28</v>
      </c>
      <c r="J33" s="214"/>
      <c r="R33" s="18" t="s">
        <v>180</v>
      </c>
    </row>
    <row r="34" ht="14.25" customHeight="1">
      <c r="A34" s="204" t="s">
        <v>181</v>
      </c>
      <c r="B34" s="204" t="s">
        <v>199</v>
      </c>
      <c r="C34" s="1" t="s">
        <v>172</v>
      </c>
      <c r="D34" s="1" t="s">
        <v>174</v>
      </c>
      <c r="E34" s="1" t="s">
        <v>175</v>
      </c>
      <c r="F34" s="1" t="s">
        <v>176</v>
      </c>
      <c r="G34" s="1" t="s">
        <v>200</v>
      </c>
      <c r="H34" s="1" t="s">
        <v>28</v>
      </c>
      <c r="I34" s="18">
        <v>7.73</v>
      </c>
      <c r="J34" s="215" t="s">
        <v>27</v>
      </c>
      <c r="K34" s="24">
        <v>36.801037</v>
      </c>
      <c r="L34" s="24">
        <v>37.942192</v>
      </c>
      <c r="M34" s="24">
        <v>37.55826</v>
      </c>
      <c r="N34" s="24">
        <v>36.458076</v>
      </c>
      <c r="O34" s="24">
        <v>37.938927</v>
      </c>
      <c r="P34" s="24">
        <v>37.339698791503906</v>
      </c>
      <c r="Q34" s="24">
        <v>0.677727222442627</v>
      </c>
      <c r="R34" s="18" t="s">
        <v>180</v>
      </c>
    </row>
    <row r="35" ht="14.25" customHeight="1">
      <c r="A35" s="204" t="s">
        <v>185</v>
      </c>
      <c r="B35" s="204" t="s">
        <v>199</v>
      </c>
      <c r="C35" s="1" t="s">
        <v>172</v>
      </c>
      <c r="D35" s="1" t="s">
        <v>174</v>
      </c>
      <c r="E35" s="1" t="s">
        <v>175</v>
      </c>
      <c r="F35" s="1" t="s">
        <v>176</v>
      </c>
      <c r="G35" s="161" t="s">
        <v>202</v>
      </c>
      <c r="H35" s="1" t="s">
        <v>35</v>
      </c>
      <c r="I35" s="18">
        <v>8.47</v>
      </c>
      <c r="J35" s="215" t="s">
        <v>27</v>
      </c>
      <c r="K35" s="24">
        <v>36.631622</v>
      </c>
      <c r="L35" s="217" t="s">
        <v>27</v>
      </c>
      <c r="M35" s="217" t="s">
        <v>27</v>
      </c>
      <c r="N35" s="24">
        <v>37.40784</v>
      </c>
      <c r="O35" s="24">
        <v>37.0435</v>
      </c>
      <c r="P35" s="24">
        <v>37.027652740478516</v>
      </c>
      <c r="Q35" s="24">
        <v>0.388351708650589</v>
      </c>
      <c r="R35" s="18" t="s">
        <v>180</v>
      </c>
    </row>
    <row r="36" ht="14.25" customHeight="1">
      <c r="A36" s="204" t="s">
        <v>189</v>
      </c>
      <c r="B36" s="204" t="s">
        <v>199</v>
      </c>
      <c r="C36" s="1" t="s">
        <v>172</v>
      </c>
      <c r="D36" s="1" t="s">
        <v>174</v>
      </c>
      <c r="E36" s="1" t="s">
        <v>175</v>
      </c>
      <c r="F36" s="1" t="s">
        <v>176</v>
      </c>
      <c r="G36" s="1" t="s">
        <v>204</v>
      </c>
      <c r="H36" s="1" t="s">
        <v>35</v>
      </c>
      <c r="I36" s="18">
        <v>10.7</v>
      </c>
      <c r="J36" s="30">
        <v>36.05094</v>
      </c>
      <c r="K36" s="24">
        <v>36.985714</v>
      </c>
      <c r="L36" s="24">
        <v>36.141304</v>
      </c>
      <c r="M36" s="24">
        <v>35.837112</v>
      </c>
      <c r="N36" s="24">
        <v>36.65337</v>
      </c>
      <c r="O36" s="24">
        <v>37.042355</v>
      </c>
      <c r="P36" s="24">
        <v>36.45179748535156</v>
      </c>
      <c r="Q36" s="24">
        <v>0.5117392539978027</v>
      </c>
      <c r="R36" s="18" t="s">
        <v>180</v>
      </c>
    </row>
    <row r="37" ht="14.25" customHeight="1">
      <c r="A37" s="204" t="s">
        <v>192</v>
      </c>
      <c r="B37" s="204" t="s">
        <v>199</v>
      </c>
      <c r="C37" s="1" t="s">
        <v>172</v>
      </c>
      <c r="D37" s="1" t="s">
        <v>174</v>
      </c>
      <c r="E37" s="1" t="s">
        <v>175</v>
      </c>
      <c r="F37" s="1" t="s">
        <v>176</v>
      </c>
      <c r="G37" s="1" t="s">
        <v>205</v>
      </c>
      <c r="H37" s="1" t="s">
        <v>43</v>
      </c>
      <c r="I37" s="18">
        <v>9.73</v>
      </c>
      <c r="J37" s="30">
        <v>35.320152</v>
      </c>
      <c r="K37" s="24">
        <v>34.867683</v>
      </c>
      <c r="L37" s="24">
        <v>37.91306</v>
      </c>
      <c r="M37" s="24">
        <v>35.92701</v>
      </c>
      <c r="N37" s="24">
        <v>35.53699</v>
      </c>
      <c r="O37" s="24">
        <v>35.192337</v>
      </c>
      <c r="P37" s="24">
        <v>35.79287338256836</v>
      </c>
      <c r="Q37" s="24">
        <v>1.0971547365188599</v>
      </c>
      <c r="R37" s="18" t="s">
        <v>180</v>
      </c>
    </row>
    <row r="38" ht="14.25" customHeight="1">
      <c r="A38" s="211" t="s">
        <v>194</v>
      </c>
      <c r="B38" s="211" t="s">
        <v>199</v>
      </c>
      <c r="C38" s="48" t="s">
        <v>172</v>
      </c>
      <c r="D38" s="48" t="s">
        <v>174</v>
      </c>
      <c r="E38" s="48" t="s">
        <v>175</v>
      </c>
      <c r="F38" s="48" t="s">
        <v>176</v>
      </c>
      <c r="G38" s="48" t="s">
        <v>206</v>
      </c>
      <c r="H38" s="48" t="s">
        <v>43</v>
      </c>
      <c r="I38" s="47">
        <v>8.4</v>
      </c>
      <c r="J38" s="49">
        <v>36.264557</v>
      </c>
      <c r="K38" s="51">
        <v>36.429832</v>
      </c>
      <c r="L38" s="51">
        <v>36.58556</v>
      </c>
      <c r="M38" s="51">
        <v>35.468437</v>
      </c>
      <c r="N38" s="51">
        <v>37.00209</v>
      </c>
      <c r="O38" s="51">
        <v>39.024506</v>
      </c>
      <c r="P38" s="51">
        <v>36.795833587646484</v>
      </c>
      <c r="Q38" s="51">
        <v>1.2026578187942505</v>
      </c>
      <c r="R38" s="47" t="s">
        <v>180</v>
      </c>
    </row>
    <row r="39" ht="14.25" customHeight="1"/>
    <row r="40" ht="14.25" customHeight="1"/>
    <row r="41" ht="14.25" customHeight="1">
      <c r="A41" s="33" t="s">
        <v>209</v>
      </c>
      <c r="B41" s="177"/>
      <c r="C41" s="177"/>
    </row>
    <row r="42" ht="14.25" customHeight="1">
      <c r="A42" s="225"/>
      <c r="B42" s="226">
        <v>44647.0</v>
      </c>
      <c r="C42" s="226">
        <v>44648.0</v>
      </c>
      <c r="D42" s="226">
        <v>44649.0</v>
      </c>
      <c r="E42" s="226">
        <v>44651.0</v>
      </c>
      <c r="F42" s="226">
        <v>44652.0</v>
      </c>
      <c r="G42" s="226">
        <v>44653.0</v>
      </c>
      <c r="H42" s="226">
        <v>44659.0</v>
      </c>
      <c r="I42" s="226">
        <v>44660.0</v>
      </c>
      <c r="J42" s="226">
        <v>44661.0</v>
      </c>
      <c r="K42" s="226">
        <v>44668.0</v>
      </c>
      <c r="L42" s="226">
        <v>44669.0</v>
      </c>
      <c r="M42" s="226">
        <v>44670.0</v>
      </c>
      <c r="N42" s="47"/>
    </row>
    <row r="43" ht="14.25" customHeight="1">
      <c r="A43" s="226" t="s">
        <v>210</v>
      </c>
      <c r="B43" s="229">
        <v>27.310000000000002</v>
      </c>
      <c r="C43" s="229">
        <v>29.938666666666666</v>
      </c>
      <c r="D43" s="229">
        <v>29.964</v>
      </c>
      <c r="E43" s="225"/>
      <c r="F43" s="225"/>
      <c r="G43" s="225"/>
      <c r="H43" s="225"/>
      <c r="I43" s="225"/>
      <c r="J43" s="225"/>
      <c r="K43" s="225"/>
      <c r="L43" s="225"/>
      <c r="M43" s="225"/>
    </row>
    <row r="44" ht="14.25" customHeight="1">
      <c r="A44" s="226" t="s">
        <v>211</v>
      </c>
      <c r="B44" s="229"/>
      <c r="C44" s="229"/>
      <c r="D44" s="225"/>
      <c r="E44" s="229">
        <v>28.516721725463867</v>
      </c>
      <c r="F44" s="229">
        <v>29.4764347076416</v>
      </c>
      <c r="G44" s="225"/>
      <c r="H44" s="225"/>
      <c r="I44" s="225"/>
      <c r="J44" s="225"/>
      <c r="K44" s="225"/>
      <c r="L44" s="225"/>
      <c r="M44" s="225"/>
    </row>
    <row r="45" ht="14.25" customHeight="1">
      <c r="A45" s="226" t="s">
        <v>212</v>
      </c>
      <c r="B45" s="225"/>
      <c r="C45" s="225"/>
      <c r="D45" s="225"/>
      <c r="E45" s="225"/>
      <c r="F45" s="229"/>
      <c r="G45" s="229">
        <v>22.960784912109375</v>
      </c>
      <c r="H45" s="229">
        <v>30.339784622192383</v>
      </c>
      <c r="I45" s="225"/>
      <c r="J45" s="225"/>
      <c r="K45" s="225"/>
      <c r="L45" s="225"/>
      <c r="M45" s="225"/>
    </row>
    <row r="46" ht="14.25" customHeight="1">
      <c r="A46" s="226" t="s">
        <v>213</v>
      </c>
      <c r="B46" s="225"/>
      <c r="C46" s="225"/>
      <c r="D46" s="225"/>
      <c r="E46" s="225"/>
      <c r="F46" s="229"/>
      <c r="G46" s="229"/>
      <c r="H46" s="225"/>
      <c r="I46" s="229">
        <v>29.65769386291504</v>
      </c>
      <c r="J46" s="229">
        <v>29.824913024902344</v>
      </c>
      <c r="K46" s="225"/>
      <c r="L46" s="225"/>
      <c r="M46" s="225"/>
    </row>
    <row r="47" ht="14.25" customHeight="1">
      <c r="A47" s="226" t="s">
        <v>214</v>
      </c>
      <c r="B47" s="225"/>
      <c r="C47" s="225"/>
      <c r="D47" s="225"/>
      <c r="E47" s="225"/>
      <c r="F47" s="225"/>
      <c r="G47" s="225"/>
      <c r="H47" s="229"/>
      <c r="I47" s="229"/>
      <c r="J47" s="225"/>
      <c r="K47" s="229">
        <v>30.884626388549805</v>
      </c>
      <c r="L47" s="229">
        <v>30.818727493286133</v>
      </c>
      <c r="M47" s="229">
        <v>30.9613037109375</v>
      </c>
      <c r="N47" s="51"/>
    </row>
    <row r="48" ht="14.25" customHeight="1">
      <c r="A48" s="18"/>
      <c r="B48" s="18"/>
      <c r="C48" s="97"/>
      <c r="D48" s="24"/>
      <c r="E48" s="24"/>
      <c r="F48" s="24"/>
    </row>
    <row r="49" ht="14.25" customHeight="1">
      <c r="A49" s="18"/>
      <c r="B49" s="18"/>
      <c r="D49" s="24"/>
      <c r="E49" s="24"/>
      <c r="F49" s="24"/>
    </row>
    <row r="50" ht="14.25" customHeight="1">
      <c r="A50" s="18"/>
      <c r="B50" s="18"/>
      <c r="C50" s="97"/>
      <c r="D50" s="24"/>
      <c r="E50" s="24"/>
      <c r="F50" s="24"/>
    </row>
    <row r="51" ht="14.25" customHeight="1">
      <c r="A51" s="18"/>
      <c r="B51" s="18"/>
      <c r="D51" s="24"/>
      <c r="E51" s="24"/>
      <c r="F51" s="24"/>
    </row>
    <row r="52" ht="14.25" customHeight="1">
      <c r="A52" s="18"/>
      <c r="B52" s="18"/>
      <c r="D52" s="24"/>
      <c r="E52" s="24"/>
      <c r="F52" s="24"/>
    </row>
    <row r="53" ht="14.25" customHeight="1">
      <c r="A53" s="18"/>
      <c r="B53" s="18"/>
      <c r="C53" s="97"/>
      <c r="D53" s="24"/>
      <c r="E53" s="24"/>
      <c r="F53" s="24"/>
    </row>
    <row r="54" ht="14.25" customHeight="1">
      <c r="A54" s="18"/>
      <c r="B54" s="18"/>
      <c r="D54" s="24"/>
      <c r="E54" s="24"/>
      <c r="F54" s="24"/>
    </row>
    <row r="55" ht="14.25" customHeight="1">
      <c r="A55" s="18"/>
      <c r="B55" s="18"/>
      <c r="D55" s="24"/>
      <c r="E55" s="24"/>
      <c r="F55" s="24"/>
    </row>
    <row r="56" ht="14.25" customHeight="1">
      <c r="A56" s="18"/>
      <c r="B56" s="18"/>
      <c r="C56" s="97"/>
      <c r="D56" s="24"/>
      <c r="E56" s="24"/>
      <c r="F56" s="24"/>
    </row>
    <row r="57" ht="14.25" customHeight="1">
      <c r="A57" s="18"/>
      <c r="B57" s="18"/>
      <c r="D57" s="24"/>
      <c r="E57" s="24"/>
      <c r="F57" s="24"/>
    </row>
    <row r="58" ht="14.25" customHeight="1">
      <c r="A58" s="18"/>
      <c r="B58" s="18"/>
      <c r="D58" s="24"/>
      <c r="E58" s="24"/>
      <c r="F58" s="24"/>
    </row>
    <row r="59" ht="14.25" customHeight="1">
      <c r="A59" s="18"/>
      <c r="B59" s="18"/>
      <c r="D59" s="24"/>
      <c r="E59" s="24"/>
      <c r="F59" s="24"/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A73" s="33" t="s">
        <v>218</v>
      </c>
      <c r="B73" s="177"/>
      <c r="C73" s="177"/>
    </row>
    <row r="74" ht="14.25" customHeight="1">
      <c r="A74" s="225"/>
      <c r="B74" s="226">
        <v>44647.0</v>
      </c>
      <c r="C74" s="226">
        <v>44648.0</v>
      </c>
      <c r="D74" s="226">
        <v>44649.0</v>
      </c>
      <c r="E74" s="226">
        <v>44651.0</v>
      </c>
      <c r="F74" s="226">
        <v>44652.0</v>
      </c>
      <c r="G74" s="226">
        <v>44653.0</v>
      </c>
      <c r="H74" s="226">
        <v>44659.0</v>
      </c>
      <c r="I74" s="226">
        <v>44660.0</v>
      </c>
      <c r="J74" s="226">
        <v>44661.0</v>
      </c>
      <c r="K74" s="226">
        <v>44668.0</v>
      </c>
      <c r="L74" s="226">
        <v>44669.0</v>
      </c>
      <c r="M74" s="226">
        <v>44670.0</v>
      </c>
      <c r="N74" s="226"/>
    </row>
    <row r="75" ht="14.25" customHeight="1">
      <c r="A75" s="226" t="s">
        <v>210</v>
      </c>
      <c r="B75" s="229">
        <v>24.273</v>
      </c>
      <c r="C75" s="229">
        <v>21.807</v>
      </c>
      <c r="D75" s="229">
        <v>21.768</v>
      </c>
      <c r="E75" s="225"/>
      <c r="F75" s="225"/>
      <c r="G75" s="225"/>
      <c r="H75" s="225"/>
      <c r="I75" s="225"/>
      <c r="J75" s="225"/>
      <c r="K75" s="225"/>
      <c r="L75" s="225"/>
      <c r="M75" s="225"/>
      <c r="N75" s="225"/>
    </row>
    <row r="76" ht="14.25" customHeight="1">
      <c r="A76" s="226" t="s">
        <v>219</v>
      </c>
      <c r="B76" s="225"/>
      <c r="C76" s="225"/>
      <c r="D76" s="225"/>
      <c r="E76" s="229">
        <v>18.65033721923828</v>
      </c>
      <c r="F76" s="229">
        <v>19.176219940185547</v>
      </c>
      <c r="G76" s="225"/>
      <c r="H76" s="225"/>
      <c r="I76" s="225"/>
      <c r="J76" s="225"/>
      <c r="K76" s="225"/>
      <c r="L76" s="225"/>
      <c r="M76" s="225"/>
      <c r="N76" s="225"/>
    </row>
    <row r="77" ht="14.25" customHeight="1">
      <c r="A77" s="226" t="s">
        <v>212</v>
      </c>
      <c r="B77" s="225"/>
      <c r="C77" s="225"/>
      <c r="D77" s="225"/>
      <c r="E77" s="225"/>
      <c r="F77" s="229"/>
      <c r="G77" s="229">
        <v>19.74367904663086</v>
      </c>
      <c r="H77" s="229">
        <v>24.332061767578125</v>
      </c>
      <c r="I77" s="225"/>
      <c r="J77" s="225"/>
      <c r="K77" s="225"/>
      <c r="L77" s="225"/>
      <c r="M77" s="225"/>
      <c r="N77" s="225"/>
    </row>
    <row r="78" ht="14.25" customHeight="1">
      <c r="A78" s="226" t="s">
        <v>213</v>
      </c>
      <c r="B78" s="225"/>
      <c r="C78" s="225"/>
      <c r="D78" s="225"/>
      <c r="E78" s="225"/>
      <c r="F78" s="225"/>
      <c r="G78" s="225"/>
      <c r="H78" s="229"/>
      <c r="I78" s="229">
        <v>22.320892333984375</v>
      </c>
      <c r="J78" s="229">
        <v>25.337541580200195</v>
      </c>
      <c r="K78" s="225"/>
      <c r="L78" s="225"/>
      <c r="M78" s="225"/>
      <c r="N78" s="225"/>
    </row>
    <row r="79" ht="14.25" customHeight="1">
      <c r="A79" s="226" t="s">
        <v>214</v>
      </c>
      <c r="B79" s="226"/>
      <c r="C79" s="229"/>
      <c r="D79" s="225"/>
      <c r="E79" s="225"/>
      <c r="F79" s="225"/>
      <c r="G79" s="225"/>
      <c r="H79" s="225"/>
      <c r="I79" s="225"/>
      <c r="J79" s="225"/>
      <c r="K79" s="229">
        <v>20.403135299682617</v>
      </c>
      <c r="L79" s="229">
        <v>23.833791732788086</v>
      </c>
      <c r="M79" s="229">
        <v>22.37288475036621</v>
      </c>
      <c r="N79" s="229"/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>
      <c r="A100" s="33" t="s">
        <v>220</v>
      </c>
      <c r="B100" s="177"/>
    </row>
    <row r="101" ht="14.25" customHeight="1">
      <c r="A101" s="226"/>
      <c r="B101" s="226"/>
      <c r="C101" s="229"/>
      <c r="D101" s="225"/>
      <c r="E101" s="225"/>
      <c r="F101" s="225"/>
      <c r="G101" s="225"/>
      <c r="H101" s="225"/>
      <c r="I101" s="225"/>
      <c r="J101" s="225"/>
      <c r="K101" s="225"/>
      <c r="L101" s="225"/>
      <c r="M101" s="225"/>
    </row>
    <row r="102" ht="14.25" customHeight="1">
      <c r="A102" s="225"/>
      <c r="B102" s="226">
        <v>44647.0</v>
      </c>
      <c r="C102" s="226">
        <v>44648.0</v>
      </c>
      <c r="D102" s="226">
        <v>44649.0</v>
      </c>
      <c r="E102" s="226">
        <v>44651.0</v>
      </c>
      <c r="F102" s="226">
        <v>44652.0</v>
      </c>
      <c r="G102" s="226">
        <v>44653.0</v>
      </c>
      <c r="H102" s="226">
        <v>44659.0</v>
      </c>
      <c r="I102" s="226">
        <v>44660.0</v>
      </c>
      <c r="J102" s="226">
        <v>44661.0</v>
      </c>
      <c r="K102" s="226">
        <v>44668.0</v>
      </c>
      <c r="L102" s="226">
        <v>44669.0</v>
      </c>
      <c r="M102" s="226">
        <v>44670.0</v>
      </c>
    </row>
    <row r="103" ht="14.25" customHeight="1">
      <c r="A103" s="225" t="s">
        <v>221</v>
      </c>
      <c r="B103" s="229">
        <v>29.683855</v>
      </c>
      <c r="C103" s="229">
        <v>29.835304</v>
      </c>
      <c r="D103" s="229">
        <v>29.950525</v>
      </c>
      <c r="E103" s="225"/>
      <c r="F103" s="225"/>
      <c r="G103" s="225"/>
      <c r="H103" s="225"/>
      <c r="I103" s="225"/>
      <c r="J103" s="225"/>
      <c r="K103" s="225"/>
      <c r="L103" s="225"/>
      <c r="M103" s="225"/>
    </row>
    <row r="104" ht="14.25" customHeight="1">
      <c r="A104" s="225" t="s">
        <v>219</v>
      </c>
      <c r="B104" s="225"/>
      <c r="C104" s="225"/>
      <c r="D104" s="225"/>
      <c r="E104" s="229">
        <v>28.372121810913086</v>
      </c>
      <c r="F104" s="229">
        <v>28.928442001342773</v>
      </c>
      <c r="G104" s="225"/>
      <c r="H104" s="225"/>
      <c r="I104" s="225"/>
      <c r="J104" s="225"/>
      <c r="K104" s="225"/>
      <c r="L104" s="225"/>
      <c r="M104" s="225"/>
    </row>
    <row r="105" ht="14.25" customHeight="1">
      <c r="A105" s="225" t="s">
        <v>212</v>
      </c>
      <c r="B105" s="225"/>
      <c r="C105" s="225"/>
      <c r="D105" s="225"/>
      <c r="E105" s="225"/>
      <c r="F105" s="225"/>
      <c r="G105" s="229">
        <v>28.0256404876709</v>
      </c>
      <c r="H105" s="229">
        <v>28.986474990844727</v>
      </c>
      <c r="I105" s="225"/>
      <c r="J105" s="225"/>
      <c r="K105" s="225"/>
      <c r="L105" s="225"/>
      <c r="M105" s="225"/>
    </row>
    <row r="106" ht="14.25" customHeight="1">
      <c r="A106" s="225" t="s">
        <v>213</v>
      </c>
      <c r="B106" s="225"/>
      <c r="C106" s="225"/>
      <c r="D106" s="225"/>
      <c r="E106" s="225"/>
      <c r="F106" s="225"/>
      <c r="G106" s="225"/>
      <c r="H106" s="225"/>
      <c r="I106" s="229">
        <v>28.7858829498291</v>
      </c>
      <c r="J106" s="229">
        <v>28.424814224243164</v>
      </c>
      <c r="K106" s="225"/>
      <c r="L106" s="225"/>
      <c r="M106" s="225"/>
    </row>
    <row r="107" ht="14.25" customHeight="1">
      <c r="A107" s="225" t="s">
        <v>214</v>
      </c>
      <c r="B107" s="225"/>
      <c r="C107" s="225"/>
      <c r="D107" s="225"/>
      <c r="E107" s="225"/>
      <c r="F107" s="225"/>
      <c r="G107" s="225"/>
      <c r="H107" s="225"/>
      <c r="I107" s="225"/>
      <c r="J107" s="225"/>
      <c r="K107" s="229">
        <v>28.952667236328125</v>
      </c>
      <c r="L107" s="229">
        <v>29.5516357421875</v>
      </c>
      <c r="M107" s="229">
        <v>29.359251022338867</v>
      </c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>
      <c r="A132" s="33" t="s">
        <v>222</v>
      </c>
      <c r="B132" s="177"/>
    </row>
    <row r="133" ht="14.25" customHeight="1">
      <c r="A133" s="225"/>
      <c r="B133" s="239" t="s">
        <v>223</v>
      </c>
      <c r="C133" s="239" t="s">
        <v>224</v>
      </c>
      <c r="D133" s="239" t="s">
        <v>225</v>
      </c>
      <c r="E133" s="239" t="s">
        <v>226</v>
      </c>
      <c r="F133" s="239" t="s">
        <v>227</v>
      </c>
      <c r="G133" s="239" t="s">
        <v>228</v>
      </c>
      <c r="H133" s="239" t="s">
        <v>229</v>
      </c>
      <c r="I133" s="239" t="s">
        <v>230</v>
      </c>
      <c r="J133" s="239" t="s">
        <v>231</v>
      </c>
      <c r="K133" s="239" t="s">
        <v>232</v>
      </c>
    </row>
    <row r="134" ht="14.25" customHeight="1">
      <c r="A134" s="225" t="s">
        <v>233</v>
      </c>
      <c r="B134" s="229">
        <v>36.152672800000005</v>
      </c>
      <c r="C134" s="229">
        <v>35.93977475</v>
      </c>
      <c r="D134" s="229">
        <v>37.088626000000005</v>
      </c>
      <c r="E134" s="229">
        <v>34.476025</v>
      </c>
      <c r="F134" s="229">
        <v>36.39822949999999</v>
      </c>
      <c r="G134" s="225"/>
      <c r="H134" s="225"/>
      <c r="I134" s="225"/>
      <c r="J134" s="225"/>
      <c r="K134" s="225"/>
    </row>
    <row r="135" ht="14.25" customHeight="1">
      <c r="A135" s="225" t="s">
        <v>212</v>
      </c>
      <c r="B135" s="225"/>
      <c r="C135" s="225"/>
      <c r="D135" s="225"/>
      <c r="E135" s="225"/>
      <c r="F135" s="225"/>
      <c r="G135" s="229">
        <v>37.339698791503906</v>
      </c>
      <c r="H135" s="225"/>
      <c r="I135" s="225"/>
      <c r="J135" s="225"/>
      <c r="K135" s="225"/>
    </row>
    <row r="136" ht="14.25" customHeight="1">
      <c r="A136" s="225" t="s">
        <v>213</v>
      </c>
      <c r="B136" s="225"/>
      <c r="C136" s="225"/>
      <c r="D136" s="225"/>
      <c r="E136" s="225"/>
      <c r="F136" s="225"/>
      <c r="G136" s="225"/>
      <c r="H136" s="229">
        <v>37.027652740478516</v>
      </c>
      <c r="I136" s="229">
        <v>36.45179748535156</v>
      </c>
      <c r="J136" s="225"/>
      <c r="K136" s="225"/>
    </row>
    <row r="137" ht="14.25" customHeight="1">
      <c r="A137" s="225" t="s">
        <v>214</v>
      </c>
      <c r="B137" s="225"/>
      <c r="C137" s="225"/>
      <c r="D137" s="225"/>
      <c r="E137" s="225"/>
      <c r="F137" s="225"/>
      <c r="G137" s="225"/>
      <c r="H137" s="225"/>
      <c r="I137" s="225"/>
      <c r="J137" s="229">
        <v>35.79287338256836</v>
      </c>
      <c r="K137" s="229">
        <v>36.795833587646484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C56:C59"/>
    <mergeCell ref="A73:C73"/>
    <mergeCell ref="A100:B100"/>
    <mergeCell ref="A132:B132"/>
    <mergeCell ref="I1:P1"/>
    <mergeCell ref="Q1:X1"/>
    <mergeCell ref="Y1:AF1"/>
    <mergeCell ref="A41:C41"/>
    <mergeCell ref="C48:C49"/>
    <mergeCell ref="C50:C52"/>
    <mergeCell ref="C53:C5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1.75"/>
    <col customWidth="1" min="3" max="3" width="13.38"/>
    <col customWidth="1" min="4" max="4" width="10.63"/>
    <col customWidth="1" min="5" max="5" width="15.63"/>
    <col customWidth="1" min="6" max="6" width="16.75"/>
    <col customWidth="1" min="7" max="7" width="17.63"/>
    <col customWidth="1" min="8" max="8" width="9.75"/>
    <col customWidth="1" min="9" max="10" width="32.13"/>
    <col customWidth="1" min="11" max="35" width="8.63"/>
  </cols>
  <sheetData>
    <row r="1" ht="14.25" customHeight="1"/>
    <row r="2" ht="14.2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K2" s="1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1" t="s">
        <v>13</v>
      </c>
      <c r="R2" s="1" t="s">
        <v>14</v>
      </c>
      <c r="S2" s="1" t="s">
        <v>15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12</v>
      </c>
      <c r="Y2" s="1" t="s">
        <v>13</v>
      </c>
      <c r="Z2" s="1" t="s">
        <v>14</v>
      </c>
      <c r="AA2" s="1" t="s">
        <v>15</v>
      </c>
      <c r="AB2" s="2" t="s">
        <v>8</v>
      </c>
      <c r="AC2" s="2" t="s">
        <v>9</v>
      </c>
      <c r="AD2" s="2" t="s">
        <v>10</v>
      </c>
      <c r="AE2" s="2" t="s">
        <v>11</v>
      </c>
      <c r="AF2" s="2" t="s">
        <v>12</v>
      </c>
      <c r="AG2" s="1" t="s">
        <v>13</v>
      </c>
      <c r="AH2" s="1" t="s">
        <v>14</v>
      </c>
      <c r="AI2" s="1" t="s">
        <v>15</v>
      </c>
    </row>
    <row r="3" ht="14.25" customHeight="1">
      <c r="B3" s="1">
        <v>44647.0</v>
      </c>
      <c r="C3" s="1" t="s">
        <v>16</v>
      </c>
      <c r="D3" s="1">
        <v>1.0</v>
      </c>
      <c r="E3" s="1" t="s">
        <v>17</v>
      </c>
      <c r="F3" s="1" t="s">
        <v>18</v>
      </c>
      <c r="G3" s="1">
        <v>1.6</v>
      </c>
      <c r="I3" s="1" t="s">
        <v>19</v>
      </c>
      <c r="J3" s="1">
        <v>24.0</v>
      </c>
      <c r="K3" s="1">
        <v>25.1</v>
      </c>
      <c r="L3" s="1">
        <v>27.428</v>
      </c>
      <c r="M3" s="1">
        <v>27.32</v>
      </c>
      <c r="N3" s="1">
        <v>27.182</v>
      </c>
      <c r="O3" s="1">
        <v>27.310000000000002</v>
      </c>
      <c r="P3" s="1">
        <v>0.123</v>
      </c>
      <c r="Q3" s="1">
        <v>3406.59</v>
      </c>
      <c r="R3" s="1">
        <v>3655.315</v>
      </c>
      <c r="S3" s="1">
        <v>3997.867</v>
      </c>
      <c r="T3" s="1">
        <v>24.315</v>
      </c>
      <c r="U3" s="1">
        <v>24.264</v>
      </c>
      <c r="V3" s="1">
        <v>24.241</v>
      </c>
      <c r="W3" s="1">
        <v>24.273</v>
      </c>
      <c r="X3" s="1">
        <v>0.038</v>
      </c>
      <c r="Y3" s="1">
        <v>26489.164</v>
      </c>
      <c r="Z3" s="1">
        <v>27388.748</v>
      </c>
      <c r="AA3" s="1">
        <v>27796.918</v>
      </c>
      <c r="AB3" s="1">
        <v>29.712772369384766</v>
      </c>
      <c r="AC3" s="1">
        <v>29.741931915283203</v>
      </c>
      <c r="AD3" s="1">
        <v>29.59686279296875</v>
      </c>
      <c r="AE3" s="1">
        <v>29.683855</v>
      </c>
      <c r="AF3" s="1">
        <v>0.07673587</v>
      </c>
      <c r="AG3" s="1">
        <v>844.43536</v>
      </c>
      <c r="AH3" s="1">
        <v>828.36914</v>
      </c>
      <c r="AI3" s="1">
        <v>911.43976</v>
      </c>
    </row>
    <row r="4" ht="14.25" customHeight="1">
      <c r="B4" s="1">
        <v>44648.0</v>
      </c>
      <c r="C4" s="1" t="s">
        <v>20</v>
      </c>
      <c r="D4" s="1">
        <v>1.0</v>
      </c>
      <c r="E4" s="1" t="s">
        <v>17</v>
      </c>
      <c r="F4" s="1" t="s">
        <v>18</v>
      </c>
      <c r="G4" s="1">
        <v>1.6</v>
      </c>
      <c r="I4" s="1" t="s">
        <v>19</v>
      </c>
      <c r="J4" s="1">
        <v>24.0</v>
      </c>
      <c r="K4" s="1">
        <v>16.5</v>
      </c>
      <c r="L4" s="1">
        <v>29.856</v>
      </c>
      <c r="M4" s="1">
        <v>29.948</v>
      </c>
      <c r="N4" s="1">
        <v>30.012</v>
      </c>
      <c r="O4" s="1">
        <v>29.938666666666666</v>
      </c>
      <c r="P4" s="1">
        <v>0.079</v>
      </c>
      <c r="Q4" s="1">
        <v>701.109</v>
      </c>
      <c r="R4" s="1">
        <v>660.236</v>
      </c>
      <c r="S4" s="1">
        <v>633.251</v>
      </c>
      <c r="T4" s="1">
        <v>21.819</v>
      </c>
      <c r="U4" s="1">
        <v>21.843</v>
      </c>
      <c r="V4" s="1">
        <v>21.759</v>
      </c>
      <c r="W4" s="1">
        <v>21.807</v>
      </c>
      <c r="X4" s="1">
        <v>0.043</v>
      </c>
      <c r="Y4" s="1">
        <v>135540.5</v>
      </c>
      <c r="Z4" s="1">
        <v>133438.16</v>
      </c>
      <c r="AA4" s="1">
        <v>140961.4</v>
      </c>
      <c r="AB4" s="1">
        <v>29.803848266601562</v>
      </c>
      <c r="AC4" s="1">
        <v>29.979055404663086</v>
      </c>
      <c r="AD4" s="1">
        <v>29.72300910949707</v>
      </c>
      <c r="AE4" s="1">
        <v>29.835304</v>
      </c>
      <c r="AF4" s="1">
        <v>0.1308894</v>
      </c>
      <c r="AG4" s="1">
        <v>795.2611</v>
      </c>
      <c r="AH4" s="1">
        <v>708.5708</v>
      </c>
      <c r="AI4" s="1">
        <v>838.76</v>
      </c>
    </row>
    <row r="5" ht="14.25" customHeight="1">
      <c r="B5" s="1">
        <v>44649.0</v>
      </c>
      <c r="C5" s="1" t="s">
        <v>21</v>
      </c>
      <c r="D5" s="1">
        <v>1.0</v>
      </c>
      <c r="E5" s="1" t="s">
        <v>17</v>
      </c>
      <c r="F5" s="1" t="s">
        <v>18</v>
      </c>
      <c r="G5" s="1">
        <v>1.6</v>
      </c>
      <c r="I5" s="1" t="s">
        <v>19</v>
      </c>
      <c r="J5" s="1">
        <v>24.0</v>
      </c>
      <c r="K5" s="1">
        <v>20.1</v>
      </c>
      <c r="L5" s="1">
        <v>29.936</v>
      </c>
      <c r="M5" s="1">
        <v>29.977</v>
      </c>
      <c r="N5" s="1">
        <v>29.979</v>
      </c>
      <c r="O5" s="1">
        <v>29.964</v>
      </c>
      <c r="P5" s="1">
        <v>0.024</v>
      </c>
      <c r="Q5" s="1">
        <v>665.46</v>
      </c>
      <c r="R5" s="1">
        <v>648.047</v>
      </c>
      <c r="S5" s="1">
        <v>647.229</v>
      </c>
      <c r="T5" s="1">
        <v>21.748</v>
      </c>
      <c r="U5" s="1">
        <v>21.789</v>
      </c>
      <c r="V5" s="1">
        <v>21.768</v>
      </c>
      <c r="W5" s="1">
        <v>21.768</v>
      </c>
      <c r="X5" s="1">
        <v>0.02</v>
      </c>
      <c r="Y5" s="1">
        <v>141918.19</v>
      </c>
      <c r="Z5" s="1">
        <v>138210.94</v>
      </c>
      <c r="AA5" s="1">
        <v>140146.84</v>
      </c>
      <c r="AB5" s="1">
        <v>30.028522491455078</v>
      </c>
      <c r="AC5" s="1">
        <v>29.947378158569336</v>
      </c>
      <c r="AD5" s="1">
        <v>29.875675201416016</v>
      </c>
      <c r="AE5" s="1">
        <v>29.950525</v>
      </c>
      <c r="AF5" s="1">
        <v>0.07647223</v>
      </c>
      <c r="AG5" s="1">
        <v>685.8526</v>
      </c>
      <c r="AH5" s="1">
        <v>723.5126</v>
      </c>
      <c r="AI5" s="1">
        <v>758.508</v>
      </c>
    </row>
    <row r="6" ht="14.25" hidden="1" customHeight="1">
      <c r="B6" s="1">
        <v>44650.0</v>
      </c>
      <c r="C6" s="1" t="s">
        <v>22</v>
      </c>
      <c r="D6" s="1">
        <v>2.0</v>
      </c>
      <c r="E6" s="1" t="s">
        <v>17</v>
      </c>
      <c r="F6" s="1" t="s">
        <v>18</v>
      </c>
      <c r="G6" s="1">
        <v>1.6</v>
      </c>
      <c r="H6" s="1" t="s">
        <v>23</v>
      </c>
      <c r="I6" s="1" t="s">
        <v>19</v>
      </c>
      <c r="K6" s="1">
        <v>0.324</v>
      </c>
      <c r="L6" s="1">
        <v>31.376</v>
      </c>
      <c r="M6" s="1">
        <v>31.217</v>
      </c>
      <c r="N6" s="1">
        <v>31.241</v>
      </c>
      <c r="O6" s="1">
        <v>31.278000000000002</v>
      </c>
      <c r="P6" s="1">
        <v>0.086</v>
      </c>
      <c r="Q6" s="1">
        <v>260.56</v>
      </c>
      <c r="R6" s="1">
        <v>289.0</v>
      </c>
      <c r="S6" s="1">
        <v>284.491</v>
      </c>
      <c r="T6" s="1">
        <v>27.359</v>
      </c>
      <c r="U6" s="1">
        <v>27.263</v>
      </c>
      <c r="V6" s="1">
        <v>27.508</v>
      </c>
      <c r="W6" s="1">
        <v>27.377</v>
      </c>
      <c r="X6" s="1">
        <v>0.124</v>
      </c>
      <c r="Y6" s="1">
        <v>3617.973</v>
      </c>
      <c r="Z6" s="1">
        <v>3852.535</v>
      </c>
      <c r="AA6" s="1">
        <v>3281.282</v>
      </c>
      <c r="AB6" s="1">
        <v>30.87439727783203</v>
      </c>
      <c r="AC6" s="1">
        <v>30.609296798706055</v>
      </c>
      <c r="AD6" s="1">
        <v>30.777742385864258</v>
      </c>
      <c r="AE6" s="1">
        <v>30.753813</v>
      </c>
      <c r="AF6" s="1">
        <v>0.13416056</v>
      </c>
      <c r="AG6" s="1">
        <v>392.8505</v>
      </c>
      <c r="AH6" s="1">
        <v>467.81287</v>
      </c>
      <c r="AI6" s="1">
        <v>418.67798</v>
      </c>
    </row>
    <row r="7" ht="14.25" customHeight="1">
      <c r="B7" s="1">
        <v>44651.0</v>
      </c>
      <c r="C7" s="1" t="s">
        <v>16</v>
      </c>
      <c r="D7" s="1">
        <v>1.0</v>
      </c>
      <c r="E7" s="1" t="s">
        <v>17</v>
      </c>
      <c r="F7" s="1" t="s">
        <v>18</v>
      </c>
      <c r="G7" s="1">
        <v>1.6</v>
      </c>
      <c r="I7" s="1" t="s">
        <v>24</v>
      </c>
      <c r="J7" s="1">
        <v>2.0</v>
      </c>
      <c r="K7" s="1">
        <v>66.6</v>
      </c>
      <c r="L7" s="1">
        <v>28.26991</v>
      </c>
      <c r="M7" s="1">
        <v>28.711771</v>
      </c>
      <c r="N7" s="1">
        <v>28.568481</v>
      </c>
      <c r="O7" s="1">
        <v>28.516721725463867</v>
      </c>
      <c r="P7" s="1">
        <v>0.22543172538280487</v>
      </c>
      <c r="Q7" s="1">
        <v>2352.798583984375</v>
      </c>
      <c r="R7" s="1">
        <v>1799.0321044921875</v>
      </c>
      <c r="S7" s="1">
        <v>1962.6064453125</v>
      </c>
      <c r="T7" s="1">
        <v>18.680689</v>
      </c>
      <c r="U7" s="1">
        <v>18.526127</v>
      </c>
      <c r="V7" s="1">
        <v>18.744196</v>
      </c>
      <c r="W7" s="1">
        <v>18.65033721923828</v>
      </c>
      <c r="X7" s="1">
        <v>0.11215813457965851</v>
      </c>
      <c r="Y7" s="1">
        <v>5.02901E7</v>
      </c>
      <c r="Z7" s="1">
        <v>5.7653636E7</v>
      </c>
      <c r="AA7" s="1">
        <v>4.7544348E7</v>
      </c>
      <c r="AB7" s="1">
        <v>28.235004</v>
      </c>
      <c r="AC7" s="1">
        <v>28.450602</v>
      </c>
      <c r="AD7" s="1">
        <v>28.430761</v>
      </c>
      <c r="AE7" s="1">
        <v>28.372121810913086</v>
      </c>
      <c r="AF7" s="1">
        <v>0.11916133016347885</v>
      </c>
      <c r="AG7" s="1">
        <v>2986.1982421875</v>
      </c>
      <c r="AH7" s="1">
        <v>2604.44775390625</v>
      </c>
      <c r="AI7" s="1">
        <v>2637.4375</v>
      </c>
    </row>
    <row r="8" ht="14.25" customHeight="1">
      <c r="B8" s="1">
        <v>44652.0</v>
      </c>
      <c r="C8" s="1" t="s">
        <v>20</v>
      </c>
      <c r="D8" s="1">
        <v>1.0</v>
      </c>
      <c r="E8" s="1" t="s">
        <v>17</v>
      </c>
      <c r="F8" s="1" t="s">
        <v>18</v>
      </c>
      <c r="G8" s="1">
        <v>1.6</v>
      </c>
      <c r="I8" s="1" t="s">
        <v>24</v>
      </c>
      <c r="J8" s="1">
        <v>2.0</v>
      </c>
      <c r="K8" s="1">
        <v>69.4</v>
      </c>
      <c r="L8" s="1">
        <v>29.495111</v>
      </c>
      <c r="M8" s="1">
        <v>29.440916</v>
      </c>
      <c r="N8" s="1">
        <v>29.49328</v>
      </c>
      <c r="O8" s="1">
        <v>29.4764347076416</v>
      </c>
      <c r="P8" s="1">
        <v>0.03077477216720581</v>
      </c>
      <c r="Q8" s="1">
        <v>1117.9532470703125</v>
      </c>
      <c r="R8" s="1">
        <v>1155.3626708984375</v>
      </c>
      <c r="S8" s="1">
        <v>1119.1971435546875</v>
      </c>
      <c r="T8" s="1">
        <v>19.217354</v>
      </c>
      <c r="U8" s="1">
        <v>19.152561</v>
      </c>
      <c r="V8" s="1">
        <v>19.158745</v>
      </c>
      <c r="W8" s="1">
        <v>19.176219940185547</v>
      </c>
      <c r="X8" s="1">
        <v>0.0357569083571434</v>
      </c>
      <c r="Y8" s="1">
        <v>3.1291726E7</v>
      </c>
      <c r="Z8" s="1">
        <v>3.3136506E7</v>
      </c>
      <c r="AA8" s="1">
        <v>3.2955848E7</v>
      </c>
      <c r="AB8" s="1">
        <v>29.039104</v>
      </c>
      <c r="AC8" s="1">
        <v>28.811398</v>
      </c>
      <c r="AD8" s="1">
        <v>28.934824</v>
      </c>
      <c r="AE8" s="1">
        <v>28.928442001342773</v>
      </c>
      <c r="AF8" s="1">
        <v>0.1139875277876854</v>
      </c>
      <c r="AG8" s="1">
        <v>1792.944580078125</v>
      </c>
      <c r="AH8" s="1">
        <v>2071.602294921875</v>
      </c>
      <c r="AI8" s="1">
        <v>1915.5743408203125</v>
      </c>
    </row>
    <row r="9" ht="14.25" hidden="1" customHeight="1">
      <c r="B9" s="1" t="s">
        <v>25</v>
      </c>
      <c r="C9" s="1" t="s">
        <v>26</v>
      </c>
      <c r="D9" s="1">
        <v>2.0</v>
      </c>
      <c r="I9" s="1" t="s">
        <v>24</v>
      </c>
      <c r="K9" s="1">
        <v>0.0</v>
      </c>
      <c r="L9" s="1" t="s">
        <v>27</v>
      </c>
      <c r="M9" s="1" t="s">
        <v>27</v>
      </c>
      <c r="N9" s="1" t="s">
        <v>27</v>
      </c>
      <c r="T9" s="1" t="s">
        <v>27</v>
      </c>
      <c r="U9" s="1" t="s">
        <v>27</v>
      </c>
      <c r="V9" s="1" t="s">
        <v>27</v>
      </c>
      <c r="AB9" s="1" t="s">
        <v>27</v>
      </c>
      <c r="AC9" s="1" t="s">
        <v>27</v>
      </c>
      <c r="AD9" s="1" t="s">
        <v>27</v>
      </c>
    </row>
    <row r="10" ht="14.25" customHeight="1">
      <c r="B10" s="1">
        <v>44653.0</v>
      </c>
      <c r="C10" s="1" t="s">
        <v>21</v>
      </c>
      <c r="D10" s="1">
        <v>1.0</v>
      </c>
      <c r="E10" s="1" t="s">
        <v>17</v>
      </c>
      <c r="F10" s="1" t="s">
        <v>18</v>
      </c>
      <c r="G10" s="1">
        <v>1.6</v>
      </c>
      <c r="I10" s="1" t="s">
        <v>28</v>
      </c>
      <c r="J10" s="1">
        <v>1.0</v>
      </c>
      <c r="K10" s="1">
        <v>59.4</v>
      </c>
      <c r="L10" s="1">
        <v>22.937843</v>
      </c>
      <c r="M10" s="1">
        <v>22.965258</v>
      </c>
      <c r="N10" s="1">
        <v>22.979252</v>
      </c>
      <c r="O10" s="1">
        <v>22.960784912109375</v>
      </c>
      <c r="P10" s="1">
        <v>0.02106359601020813</v>
      </c>
      <c r="Q10" s="1">
        <v>59976.38671875</v>
      </c>
      <c r="R10" s="1">
        <v>58986.06640625</v>
      </c>
      <c r="S10" s="1">
        <v>58486.859375</v>
      </c>
      <c r="T10" s="1">
        <v>19.787014</v>
      </c>
      <c r="U10" s="1">
        <v>19.72716</v>
      </c>
      <c r="V10" s="1">
        <v>19.716866</v>
      </c>
      <c r="W10" s="1">
        <v>19.74367904663086</v>
      </c>
      <c r="X10" s="1">
        <v>0.037879932671785355</v>
      </c>
      <c r="Y10" s="1">
        <v>1.8910718E7</v>
      </c>
      <c r="Z10" s="1">
        <v>1.9938348E7</v>
      </c>
      <c r="AA10" s="1">
        <v>2.012063E7</v>
      </c>
      <c r="AB10" s="1">
        <v>28.02716</v>
      </c>
      <c r="AC10" s="1">
        <v>27.973473</v>
      </c>
      <c r="AD10" s="1">
        <v>28.076283</v>
      </c>
      <c r="AE10" s="1">
        <v>28.0256404876709</v>
      </c>
      <c r="AF10" s="1">
        <v>0.05142185091972351</v>
      </c>
      <c r="AG10" s="1">
        <v>3407.103515625</v>
      </c>
      <c r="AH10" s="1">
        <v>3525.15234375</v>
      </c>
      <c r="AI10" s="1">
        <v>3302.5615234375</v>
      </c>
    </row>
    <row r="11" ht="14.25" hidden="1" customHeight="1">
      <c r="B11" s="1">
        <v>44654.0</v>
      </c>
      <c r="C11" s="1" t="s">
        <v>22</v>
      </c>
      <c r="D11" s="1">
        <v>2.0</v>
      </c>
      <c r="E11" s="1" t="s">
        <v>17</v>
      </c>
      <c r="F11" s="1" t="s">
        <v>18</v>
      </c>
      <c r="G11" s="1">
        <v>1.6</v>
      </c>
      <c r="H11" s="1" t="s">
        <v>29</v>
      </c>
      <c r="I11" s="1" t="s">
        <v>28</v>
      </c>
      <c r="K11" s="1">
        <v>0.993</v>
      </c>
      <c r="L11" s="1">
        <v>30.61703</v>
      </c>
      <c r="M11" s="1">
        <v>30.710367</v>
      </c>
      <c r="N11" s="1">
        <v>30.540243</v>
      </c>
      <c r="O11" s="1">
        <v>30.62254524230957</v>
      </c>
      <c r="P11" s="1">
        <v>0.0851961225271225</v>
      </c>
      <c r="Q11" s="1">
        <v>565.5938110351562</v>
      </c>
      <c r="R11" s="1">
        <v>534.423583984375</v>
      </c>
      <c r="S11" s="1">
        <v>592.5948486328125</v>
      </c>
      <c r="T11" s="1">
        <v>26.574636</v>
      </c>
      <c r="U11" s="1">
        <v>26.642433</v>
      </c>
      <c r="V11" s="1">
        <v>26.620953</v>
      </c>
      <c r="W11" s="1">
        <v>26.612672805786133</v>
      </c>
      <c r="X11" s="1">
        <v>0.034648217260837555</v>
      </c>
      <c r="Y11" s="1">
        <v>46837.59375</v>
      </c>
      <c r="Z11" s="1">
        <v>44112.734375</v>
      </c>
      <c r="AA11" s="1">
        <v>44958.4609375</v>
      </c>
      <c r="AB11" s="1">
        <v>29.489687</v>
      </c>
      <c r="AC11" s="1">
        <v>29.690447</v>
      </c>
      <c r="AD11" s="1">
        <v>29.53614</v>
      </c>
      <c r="AE11" s="1">
        <v>29.57209014892578</v>
      </c>
      <c r="AF11" s="1">
        <v>0.10509751737117767</v>
      </c>
      <c r="AG11" s="1">
        <v>1347.1591796875</v>
      </c>
      <c r="AH11" s="1">
        <v>1186.0528564453125</v>
      </c>
      <c r="AI11" s="1">
        <v>1308.0360107421875</v>
      </c>
    </row>
    <row r="12" ht="14.25" customHeight="1">
      <c r="B12" s="1">
        <v>44659.0</v>
      </c>
      <c r="C12" s="1" t="s">
        <v>16</v>
      </c>
      <c r="D12" s="1">
        <v>1.0</v>
      </c>
      <c r="E12" s="1" t="s">
        <v>17</v>
      </c>
      <c r="F12" s="1" t="s">
        <v>18</v>
      </c>
      <c r="G12" s="1">
        <v>1.6</v>
      </c>
      <c r="I12" s="1" t="s">
        <v>28</v>
      </c>
      <c r="J12" s="1">
        <v>1.0</v>
      </c>
      <c r="K12" s="1">
        <v>53.4</v>
      </c>
      <c r="L12" s="1">
        <v>30.218195</v>
      </c>
      <c r="M12" s="1">
        <v>30.4119</v>
      </c>
      <c r="N12" s="1">
        <v>30.389261</v>
      </c>
      <c r="O12" s="1">
        <v>30.339784622192383</v>
      </c>
      <c r="P12" s="1">
        <v>0.1059069111943245</v>
      </c>
      <c r="Q12" s="1">
        <v>720.6126098632812</v>
      </c>
      <c r="R12" s="1">
        <v>640.6339721679688</v>
      </c>
      <c r="S12" s="1">
        <v>649.5029296875</v>
      </c>
      <c r="T12" s="1">
        <v>24.361212</v>
      </c>
      <c r="U12" s="1">
        <v>24.284937</v>
      </c>
      <c r="V12" s="1">
        <v>24.350039</v>
      </c>
      <c r="W12" s="1">
        <v>24.332061767578125</v>
      </c>
      <c r="X12" s="1">
        <v>0.041192471981048584</v>
      </c>
      <c r="Y12" s="1">
        <v>331467.4375</v>
      </c>
      <c r="Z12" s="1">
        <v>354590.15625</v>
      </c>
      <c r="AA12" s="1">
        <v>334757.90625</v>
      </c>
      <c r="AB12" s="1">
        <v>28.973621</v>
      </c>
      <c r="AC12" s="1">
        <v>29.074467</v>
      </c>
      <c r="AD12" s="1">
        <v>28.91134</v>
      </c>
      <c r="AE12" s="1">
        <v>28.986474990844727</v>
      </c>
      <c r="AF12" s="1">
        <v>0.0823192447423935</v>
      </c>
      <c r="AG12" s="1">
        <v>1868.999755859375</v>
      </c>
      <c r="AH12" s="1">
        <v>1753.168212890625</v>
      </c>
      <c r="AI12" s="1">
        <v>1944.326904296875</v>
      </c>
    </row>
    <row r="13" ht="14.25" hidden="1" customHeight="1">
      <c r="B13" s="1" t="s">
        <v>31</v>
      </c>
      <c r="C13" s="1" t="s">
        <v>26</v>
      </c>
      <c r="D13" s="1">
        <v>2.0</v>
      </c>
      <c r="I13" s="1" t="s">
        <v>28</v>
      </c>
      <c r="K13" s="1">
        <v>0.0</v>
      </c>
      <c r="L13" s="1" t="s">
        <v>27</v>
      </c>
      <c r="M13" s="1" t="s">
        <v>27</v>
      </c>
      <c r="N13" s="1" t="s">
        <v>27</v>
      </c>
      <c r="T13" s="1" t="s">
        <v>27</v>
      </c>
      <c r="U13" s="1" t="s">
        <v>27</v>
      </c>
      <c r="V13" s="1" t="s">
        <v>27</v>
      </c>
      <c r="AB13" s="1" t="s">
        <v>27</v>
      </c>
      <c r="AC13" s="1" t="s">
        <v>27</v>
      </c>
      <c r="AD13" s="1" t="s">
        <v>27</v>
      </c>
    </row>
    <row r="14" ht="14.25" customHeight="1">
      <c r="B14" s="1">
        <v>44660.0</v>
      </c>
      <c r="C14" s="1" t="s">
        <v>20</v>
      </c>
      <c r="D14" s="1">
        <v>1.0</v>
      </c>
      <c r="E14" s="1" t="s">
        <v>17</v>
      </c>
      <c r="F14" s="1" t="s">
        <v>18</v>
      </c>
      <c r="G14" s="1">
        <v>1.6</v>
      </c>
      <c r="I14" s="1" t="s">
        <v>35</v>
      </c>
      <c r="J14" s="1">
        <v>0.5</v>
      </c>
      <c r="K14" s="1">
        <v>62.4</v>
      </c>
      <c r="L14" s="1">
        <v>29.643421</v>
      </c>
      <c r="M14" s="1">
        <v>29.636812</v>
      </c>
      <c r="N14" s="1">
        <v>29.692856</v>
      </c>
      <c r="O14" s="1">
        <v>29.65769386291504</v>
      </c>
      <c r="P14" s="1">
        <v>0.030627744272351265</v>
      </c>
      <c r="Q14" s="1">
        <v>1021.6572265625</v>
      </c>
      <c r="R14" s="1">
        <v>1025.7662353515625</v>
      </c>
      <c r="S14" s="1">
        <v>991.4395141601562</v>
      </c>
      <c r="T14" s="1">
        <v>22.265867</v>
      </c>
      <c r="U14" s="1">
        <v>22.365807</v>
      </c>
      <c r="V14" s="1">
        <v>22.331003</v>
      </c>
      <c r="W14" s="1">
        <v>22.320892333984375</v>
      </c>
      <c r="X14" s="1">
        <v>0.05073105916380882</v>
      </c>
      <c r="Y14" s="1">
        <v>2113246.75</v>
      </c>
      <c r="Z14" s="1">
        <v>1934543.0</v>
      </c>
      <c r="AA14" s="1">
        <v>1994992.125</v>
      </c>
      <c r="AB14" s="1">
        <v>28.707094</v>
      </c>
      <c r="AC14" s="1">
        <v>28.837885</v>
      </c>
      <c r="AD14" s="1">
        <v>28.812672</v>
      </c>
      <c r="AE14" s="1">
        <v>28.7858829498291</v>
      </c>
      <c r="AF14" s="1">
        <v>0.06938841938972473</v>
      </c>
      <c r="AG14" s="1">
        <v>2213.3232421875</v>
      </c>
      <c r="AH14" s="1">
        <v>2037.08154296875</v>
      </c>
      <c r="AI14" s="1">
        <v>2069.928466796875</v>
      </c>
    </row>
    <row r="15" ht="14.25" customHeight="1">
      <c r="B15" s="1">
        <v>44661.0</v>
      </c>
      <c r="C15" s="1" t="s">
        <v>21</v>
      </c>
      <c r="D15" s="1">
        <v>1.0</v>
      </c>
      <c r="E15" s="1" t="s">
        <v>17</v>
      </c>
      <c r="F15" s="1" t="s">
        <v>18</v>
      </c>
      <c r="G15" s="1">
        <v>1.6</v>
      </c>
      <c r="I15" s="1" t="s">
        <v>35</v>
      </c>
      <c r="J15" s="1">
        <v>0.5</v>
      </c>
      <c r="K15" s="1">
        <v>54.8</v>
      </c>
      <c r="L15" s="1">
        <v>29.793955</v>
      </c>
      <c r="M15" s="1">
        <v>29.69598</v>
      </c>
      <c r="N15" s="1">
        <v>29.984804</v>
      </c>
      <c r="O15" s="1">
        <v>29.824913024902344</v>
      </c>
      <c r="P15" s="1">
        <v>0.14687968790531158</v>
      </c>
      <c r="Q15" s="1">
        <v>932.3955078125</v>
      </c>
      <c r="R15" s="1">
        <v>989.5601196289062</v>
      </c>
      <c r="S15" s="1">
        <v>830.3504638671875</v>
      </c>
      <c r="T15" s="1">
        <v>25.323893</v>
      </c>
      <c r="U15" s="1">
        <v>25.369528</v>
      </c>
      <c r="V15" s="1">
        <v>25.319208</v>
      </c>
      <c r="W15" s="1">
        <v>25.337541580200195</v>
      </c>
      <c r="X15" s="1">
        <v>0.027798641473054886</v>
      </c>
      <c r="Y15" s="1">
        <v>141520.296875</v>
      </c>
      <c r="Z15" s="1">
        <v>135924.28125</v>
      </c>
      <c r="AA15" s="1">
        <v>142107.609375</v>
      </c>
      <c r="AB15" s="1">
        <v>28.696156</v>
      </c>
      <c r="AC15" s="1">
        <v>28.208061</v>
      </c>
      <c r="AD15" s="1">
        <v>28.370226</v>
      </c>
      <c r="AE15" s="1">
        <v>28.424814224243164</v>
      </c>
      <c r="AF15" s="1">
        <v>0.2485838532447815</v>
      </c>
      <c r="AG15" s="1">
        <v>2228.736572265625</v>
      </c>
      <c r="AH15" s="1">
        <v>3037.681396484375</v>
      </c>
      <c r="AI15" s="1">
        <v>2740.69921875</v>
      </c>
    </row>
    <row r="16" ht="14.25" hidden="1" customHeight="1">
      <c r="B16" s="1">
        <v>44667.0</v>
      </c>
      <c r="C16" s="1" t="s">
        <v>22</v>
      </c>
      <c r="D16" s="1">
        <v>2.0</v>
      </c>
      <c r="E16" s="1" t="s">
        <v>17</v>
      </c>
      <c r="F16" s="1" t="s">
        <v>18</v>
      </c>
      <c r="G16" s="1">
        <v>1.6</v>
      </c>
      <c r="H16" s="1" t="s">
        <v>39</v>
      </c>
      <c r="I16" s="1" t="s">
        <v>35</v>
      </c>
      <c r="K16" s="1">
        <v>0.448</v>
      </c>
      <c r="L16" s="1">
        <v>31.980057</v>
      </c>
      <c r="M16" s="1">
        <v>32.269688</v>
      </c>
      <c r="N16" s="1">
        <v>32.036457</v>
      </c>
      <c r="O16" s="1">
        <v>32.095401763916016</v>
      </c>
      <c r="P16" s="1">
        <v>0.15354888141155243</v>
      </c>
      <c r="Q16" s="1">
        <v>247.16676330566406</v>
      </c>
      <c r="R16" s="1">
        <v>207.2986602783203</v>
      </c>
      <c r="S16" s="1">
        <v>238.84371948242188</v>
      </c>
      <c r="T16" s="1">
        <v>30.408072</v>
      </c>
      <c r="U16" s="1">
        <v>30.3242</v>
      </c>
      <c r="V16" s="1">
        <v>30.378798</v>
      </c>
      <c r="W16" s="1">
        <v>30.3703556060791</v>
      </c>
      <c r="X16" s="1">
        <v>0.04256833344697952</v>
      </c>
      <c r="Y16" s="1">
        <v>1580.31591796875</v>
      </c>
      <c r="Z16" s="1">
        <v>1701.9490966796875</v>
      </c>
      <c r="AA16" s="1">
        <v>1621.7491455078125</v>
      </c>
      <c r="AB16" s="1">
        <v>33.522923</v>
      </c>
      <c r="AC16" s="1">
        <v>33.257874</v>
      </c>
      <c r="AD16" s="1">
        <v>33.09533</v>
      </c>
      <c r="AE16" s="1">
        <v>33.29204177856445</v>
      </c>
      <c r="AF16" s="1">
        <v>0.21583464741706848</v>
      </c>
      <c r="AG16" s="1">
        <v>104.26800537109375</v>
      </c>
      <c r="AH16" s="1">
        <v>123.3614273071289</v>
      </c>
      <c r="AI16" s="1">
        <v>136.76181030273438</v>
      </c>
    </row>
    <row r="17" ht="14.25" hidden="1" customHeight="1">
      <c r="B17" s="1" t="s">
        <v>40</v>
      </c>
      <c r="C17" s="1" t="s">
        <v>26</v>
      </c>
      <c r="D17" s="1">
        <v>2.0</v>
      </c>
      <c r="I17" s="1" t="s">
        <v>35</v>
      </c>
      <c r="K17" s="1">
        <v>0.0</v>
      </c>
      <c r="L17" s="1" t="s">
        <v>27</v>
      </c>
      <c r="M17" s="1" t="s">
        <v>27</v>
      </c>
      <c r="N17" s="1" t="s">
        <v>27</v>
      </c>
      <c r="T17" s="1" t="s">
        <v>27</v>
      </c>
      <c r="U17" s="1" t="s">
        <v>27</v>
      </c>
      <c r="V17" s="1" t="s">
        <v>27</v>
      </c>
      <c r="AB17" s="1" t="s">
        <v>27</v>
      </c>
      <c r="AC17" s="1" t="s">
        <v>27</v>
      </c>
      <c r="AD17" s="1" t="s">
        <v>27</v>
      </c>
    </row>
    <row r="18" ht="14.25" customHeight="1">
      <c r="B18" s="1">
        <v>44668.0</v>
      </c>
      <c r="C18" s="1" t="s">
        <v>16</v>
      </c>
      <c r="D18" s="1">
        <v>1.0</v>
      </c>
      <c r="E18" s="1" t="s">
        <v>17</v>
      </c>
      <c r="F18" s="1" t="s">
        <v>18</v>
      </c>
      <c r="G18" s="1">
        <v>1.6</v>
      </c>
      <c r="I18" s="1" t="s">
        <v>43</v>
      </c>
      <c r="J18" s="1">
        <v>0.25</v>
      </c>
      <c r="K18" s="1">
        <v>47.6</v>
      </c>
      <c r="L18" s="1">
        <v>30.616999</v>
      </c>
      <c r="M18" s="1">
        <v>31.081608</v>
      </c>
      <c r="N18" s="1">
        <v>30.955273</v>
      </c>
      <c r="O18" s="1">
        <v>30.884626388549805</v>
      </c>
      <c r="P18" s="1">
        <v>0.2402261197566986</v>
      </c>
      <c r="Q18" s="1">
        <v>531.6332397460938</v>
      </c>
      <c r="R18" s="1">
        <v>387.68084716796875</v>
      </c>
      <c r="S18" s="1">
        <v>422.4394226074219</v>
      </c>
      <c r="T18" s="1">
        <v>20.359411</v>
      </c>
      <c r="U18" s="1">
        <v>20.5111</v>
      </c>
      <c r="V18" s="1">
        <v>20.338892</v>
      </c>
      <c r="W18" s="1">
        <v>20.403135299682617</v>
      </c>
      <c r="X18" s="1">
        <v>0.09406258165836334</v>
      </c>
      <c r="Y18" s="1">
        <v>2669118.25</v>
      </c>
      <c r="Z18" s="1">
        <v>2375789.75</v>
      </c>
      <c r="AA18" s="1">
        <v>2711484.5</v>
      </c>
      <c r="AB18" s="1">
        <v>28.817122</v>
      </c>
      <c r="AC18" s="1">
        <v>28.950857</v>
      </c>
      <c r="AD18" s="1">
        <v>29.09002</v>
      </c>
      <c r="AE18" s="1">
        <v>28.952667236328125</v>
      </c>
      <c r="AF18" s="1">
        <v>0.13645784556865692</v>
      </c>
      <c r="AG18" s="1">
        <v>2537.860107421875</v>
      </c>
      <c r="AH18" s="1">
        <v>2321.488525390625</v>
      </c>
      <c r="AI18" s="1">
        <v>2115.899658203125</v>
      </c>
    </row>
    <row r="19" ht="14.25" customHeight="1">
      <c r="B19" s="1">
        <v>44669.0</v>
      </c>
      <c r="C19" s="1" t="s">
        <v>20</v>
      </c>
      <c r="D19" s="1">
        <v>1.0</v>
      </c>
      <c r="E19" s="1" t="s">
        <v>17</v>
      </c>
      <c r="F19" s="1" t="s">
        <v>18</v>
      </c>
      <c r="G19" s="1">
        <v>1.6</v>
      </c>
      <c r="I19" s="1" t="s">
        <v>43</v>
      </c>
      <c r="J19" s="1">
        <v>0.25</v>
      </c>
      <c r="K19" s="1">
        <v>53.2</v>
      </c>
      <c r="L19" s="1">
        <v>30.791931</v>
      </c>
      <c r="M19" s="1">
        <v>30.697142</v>
      </c>
      <c r="N19" s="1">
        <v>30.96711</v>
      </c>
      <c r="O19" s="1">
        <v>30.818727493286133</v>
      </c>
      <c r="P19" s="1">
        <v>0.13696429133415222</v>
      </c>
      <c r="Q19" s="1">
        <v>472.0387268066406</v>
      </c>
      <c r="R19" s="1">
        <v>503.4501647949219</v>
      </c>
      <c r="S19" s="1">
        <v>419.05450439453125</v>
      </c>
      <c r="T19" s="1">
        <v>23.859364</v>
      </c>
      <c r="U19" s="1">
        <v>23.782635</v>
      </c>
      <c r="V19" s="1">
        <v>23.85937</v>
      </c>
      <c r="W19" s="1">
        <v>23.833791732788086</v>
      </c>
      <c r="X19" s="1">
        <v>0.04430105909705162</v>
      </c>
      <c r="Y19" s="1">
        <v>181884.140625</v>
      </c>
      <c r="Z19" s="1">
        <v>192916.515625</v>
      </c>
      <c r="AA19" s="1">
        <v>181883.34375</v>
      </c>
      <c r="AB19" s="1">
        <v>29.638397</v>
      </c>
      <c r="AC19" s="1">
        <v>29.439259</v>
      </c>
      <c r="AD19" s="1">
        <v>29.577253</v>
      </c>
      <c r="AE19" s="1">
        <v>29.5516357421875</v>
      </c>
      <c r="AF19" s="1">
        <v>0.10201089084148407</v>
      </c>
      <c r="AG19" s="1">
        <v>1468.2584228515625</v>
      </c>
      <c r="AH19" s="1">
        <v>1676.603271484375</v>
      </c>
      <c r="AI19" s="1">
        <v>1529.31396484375</v>
      </c>
    </row>
    <row r="20" ht="14.25" customHeight="1">
      <c r="B20" s="1">
        <v>44670.0</v>
      </c>
      <c r="C20" s="1" t="s">
        <v>21</v>
      </c>
      <c r="D20" s="1">
        <v>1.0</v>
      </c>
      <c r="E20" s="1" t="s">
        <v>17</v>
      </c>
      <c r="F20" s="1" t="s">
        <v>18</v>
      </c>
      <c r="G20" s="1">
        <v>1.6</v>
      </c>
      <c r="I20" s="1" t="s">
        <v>43</v>
      </c>
      <c r="J20" s="1">
        <v>0.25</v>
      </c>
      <c r="K20" s="1">
        <v>44.8</v>
      </c>
      <c r="L20" s="1">
        <v>30.854834</v>
      </c>
      <c r="M20" s="1">
        <v>30.969257</v>
      </c>
      <c r="N20" s="1">
        <v>31.05982</v>
      </c>
      <c r="O20" s="1">
        <v>30.9613037109375</v>
      </c>
      <c r="P20" s="1">
        <v>0.10272447764873505</v>
      </c>
      <c r="Q20" s="1">
        <v>452.2835998535156</v>
      </c>
      <c r="R20" s="1">
        <v>418.44329833984375</v>
      </c>
      <c r="S20" s="1">
        <v>393.4643249511719</v>
      </c>
      <c r="T20" s="1">
        <v>22.368885</v>
      </c>
      <c r="U20" s="1">
        <v>22.342028</v>
      </c>
      <c r="V20" s="1">
        <v>22.407743</v>
      </c>
      <c r="W20" s="1">
        <v>22.37288475036621</v>
      </c>
      <c r="X20" s="1">
        <v>0.03304002806544304</v>
      </c>
      <c r="Y20" s="1">
        <v>570936.625</v>
      </c>
      <c r="Z20" s="1">
        <v>582827.125</v>
      </c>
      <c r="AA20" s="1">
        <v>554161.0</v>
      </c>
      <c r="AB20" s="1">
        <v>29.408981</v>
      </c>
      <c r="AC20" s="1">
        <v>29.444334</v>
      </c>
      <c r="AD20" s="1">
        <v>29.224438</v>
      </c>
      <c r="AE20" s="1">
        <v>29.359251022338867</v>
      </c>
      <c r="AF20" s="1">
        <v>0.11808227747678757</v>
      </c>
      <c r="AG20" s="1">
        <v>1710.77197265625</v>
      </c>
      <c r="AH20" s="1">
        <v>1670.9427490234375</v>
      </c>
      <c r="AI20" s="1">
        <v>1934.6229248046875</v>
      </c>
    </row>
    <row r="21" ht="14.25" hidden="1" customHeight="1">
      <c r="B21" s="1">
        <v>44671.0</v>
      </c>
      <c r="C21" s="1" t="s">
        <v>22</v>
      </c>
      <c r="D21" s="1">
        <v>2.0</v>
      </c>
      <c r="E21" s="1" t="s">
        <v>17</v>
      </c>
      <c r="F21" s="1" t="s">
        <v>18</v>
      </c>
      <c r="G21" s="1">
        <v>1.3</v>
      </c>
      <c r="I21" s="1" t="s">
        <v>43</v>
      </c>
      <c r="K21" s="1">
        <v>0.492</v>
      </c>
      <c r="L21" s="1">
        <v>33.030014</v>
      </c>
      <c r="M21" s="1">
        <v>32.838615</v>
      </c>
      <c r="N21" s="1">
        <v>32.864277</v>
      </c>
      <c r="O21" s="1">
        <v>32.91096878051758</v>
      </c>
      <c r="P21" s="1">
        <v>0.10389156639575958</v>
      </c>
      <c r="Q21" s="1">
        <v>103.12571716308594</v>
      </c>
      <c r="R21" s="1">
        <v>117.45235443115234</v>
      </c>
      <c r="S21" s="1">
        <v>115.4216537475586</v>
      </c>
      <c r="T21" s="1">
        <v>32.052746</v>
      </c>
      <c r="U21" s="1">
        <v>32.069504</v>
      </c>
      <c r="V21" s="1">
        <v>31.81593</v>
      </c>
      <c r="W21" s="1">
        <v>31.979393005371094</v>
      </c>
      <c r="X21" s="1">
        <v>0.14181137084960938</v>
      </c>
      <c r="Y21" s="1">
        <v>337.94769287109375</v>
      </c>
      <c r="Z21" s="1">
        <v>333.6290588378906</v>
      </c>
      <c r="AA21" s="1">
        <v>405.30596923828125</v>
      </c>
      <c r="AB21" s="1">
        <v>34.13808</v>
      </c>
      <c r="AC21" s="1">
        <v>34.683857</v>
      </c>
      <c r="AD21" s="1">
        <v>34.63725</v>
      </c>
      <c r="AE21" s="1">
        <v>34.486392974853516</v>
      </c>
      <c r="AF21" s="1">
        <v>0.3025484085083008</v>
      </c>
      <c r="AG21" s="1">
        <v>73.2251205444336</v>
      </c>
      <c r="AH21" s="1">
        <v>50.900306701660156</v>
      </c>
      <c r="AI21" s="1">
        <v>52.50589370727539</v>
      </c>
    </row>
    <row r="22" ht="14.25" customHeight="1"/>
    <row r="23" ht="14.25" customHeight="1">
      <c r="C23" s="29" t="s">
        <v>44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2:$AI$21">
    <filterColumn colId="2">
      <filters>
        <filter val="1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25"/>
    <col customWidth="1" min="2" max="2" width="10.88"/>
    <col customWidth="1" min="3" max="3" width="16.0"/>
    <col customWidth="1" min="4" max="4" width="47.25"/>
    <col customWidth="1" min="5" max="5" width="19.38"/>
    <col customWidth="1" min="6" max="6" width="8.0"/>
    <col customWidth="1" min="7" max="7" width="8.25"/>
    <col customWidth="1" min="8" max="8" width="9.38"/>
    <col customWidth="1" min="9" max="9" width="6.88"/>
    <col customWidth="1" min="10" max="10" width="9.75"/>
    <col customWidth="1" min="11" max="12" width="5.63"/>
    <col customWidth="1" min="13" max="13" width="8.63"/>
    <col customWidth="1" min="14" max="14" width="6.88"/>
    <col customWidth="1" min="15" max="15" width="11.63"/>
    <col customWidth="1" min="16" max="25" width="8.63"/>
    <col customWidth="1" min="26" max="26" width="13.75"/>
    <col customWidth="1" min="27" max="46" width="8.63"/>
  </cols>
  <sheetData>
    <row r="1" ht="14.25" customHeight="1">
      <c r="A1" s="3" t="s">
        <v>57</v>
      </c>
      <c r="E1" s="76" t="s">
        <v>49</v>
      </c>
      <c r="F1" s="77"/>
      <c r="G1" s="77"/>
      <c r="H1" s="77"/>
      <c r="I1" s="77"/>
      <c r="J1" s="77"/>
      <c r="K1" s="77"/>
      <c r="L1" s="77"/>
      <c r="M1" s="77"/>
      <c r="N1" s="77"/>
      <c r="O1" s="78"/>
      <c r="P1" s="79" t="s">
        <v>33</v>
      </c>
      <c r="Q1" s="77"/>
      <c r="R1" s="77"/>
      <c r="S1" s="77"/>
      <c r="T1" s="77"/>
      <c r="U1" s="77"/>
      <c r="V1" s="77"/>
      <c r="W1" s="77"/>
      <c r="X1" s="77"/>
      <c r="Y1" s="77"/>
      <c r="Z1" s="78"/>
    </row>
    <row r="2" ht="14.25" customHeight="1">
      <c r="A2" s="17"/>
      <c r="E2" s="80" t="s">
        <v>58</v>
      </c>
      <c r="F2" s="81"/>
      <c r="G2" s="81"/>
      <c r="H2" s="81"/>
      <c r="I2" s="81"/>
      <c r="J2" s="80" t="s">
        <v>59</v>
      </c>
      <c r="K2" s="81"/>
      <c r="L2" s="81"/>
      <c r="M2" s="81"/>
      <c r="N2" s="81"/>
      <c r="O2" s="82"/>
      <c r="P2" s="80" t="s">
        <v>58</v>
      </c>
      <c r="Q2" s="81"/>
      <c r="R2" s="81"/>
      <c r="S2" s="81"/>
      <c r="T2" s="81"/>
      <c r="U2" s="80" t="s">
        <v>60</v>
      </c>
      <c r="V2" s="81"/>
      <c r="W2" s="81"/>
      <c r="X2" s="81"/>
      <c r="Y2" s="81"/>
      <c r="Z2" s="82"/>
    </row>
    <row r="3" ht="14.25" customHeight="1">
      <c r="A3" s="4" t="s">
        <v>0</v>
      </c>
      <c r="B3" s="5" t="s">
        <v>36</v>
      </c>
      <c r="C3" s="5" t="s">
        <v>3</v>
      </c>
      <c r="D3" s="5" t="s">
        <v>6</v>
      </c>
      <c r="E3" s="83" t="s">
        <v>8</v>
      </c>
      <c r="F3" s="84" t="s">
        <v>9</v>
      </c>
      <c r="G3" s="84" t="s">
        <v>10</v>
      </c>
      <c r="H3" s="84" t="s">
        <v>11</v>
      </c>
      <c r="I3" s="84" t="s">
        <v>12</v>
      </c>
      <c r="J3" s="83" t="s">
        <v>8</v>
      </c>
      <c r="K3" s="84" t="s">
        <v>9</v>
      </c>
      <c r="L3" s="84" t="s">
        <v>10</v>
      </c>
      <c r="M3" s="84" t="s">
        <v>11</v>
      </c>
      <c r="N3" s="84" t="s">
        <v>12</v>
      </c>
      <c r="O3" s="85" t="s">
        <v>61</v>
      </c>
      <c r="P3" s="9" t="s">
        <v>8</v>
      </c>
      <c r="Q3" s="10" t="s">
        <v>9</v>
      </c>
      <c r="R3" s="10" t="s">
        <v>10</v>
      </c>
      <c r="S3" s="10" t="s">
        <v>11</v>
      </c>
      <c r="T3" s="86" t="s">
        <v>12</v>
      </c>
      <c r="U3" s="83" t="s">
        <v>8</v>
      </c>
      <c r="V3" s="84" t="s">
        <v>9</v>
      </c>
      <c r="W3" s="84" t="s">
        <v>10</v>
      </c>
      <c r="X3" s="84" t="s">
        <v>11</v>
      </c>
      <c r="Y3" s="84" t="s">
        <v>12</v>
      </c>
      <c r="Z3" s="87" t="s">
        <v>61</v>
      </c>
    </row>
    <row r="4" ht="14.25" customHeight="1">
      <c r="A4" s="88">
        <v>44647.0</v>
      </c>
      <c r="B4" s="89" t="s">
        <v>16</v>
      </c>
      <c r="C4" s="90" t="s">
        <v>17</v>
      </c>
      <c r="D4" s="90"/>
      <c r="E4" s="64">
        <v>27.428</v>
      </c>
      <c r="F4" s="91">
        <v>27.32</v>
      </c>
      <c r="G4" s="91">
        <v>27.182</v>
      </c>
      <c r="H4" s="91">
        <f t="shared" ref="H4:H9" si="1">AVERAGE(E4:G4)</f>
        <v>27.31</v>
      </c>
      <c r="I4" s="91">
        <v>0.123</v>
      </c>
      <c r="J4" s="64">
        <v>28.68</v>
      </c>
      <c r="K4" s="91">
        <v>28.77</v>
      </c>
      <c r="L4" s="91">
        <v>28.77</v>
      </c>
      <c r="M4" s="91">
        <f t="shared" ref="M4:M9" si="2">AVERAGE(J4:L4)</f>
        <v>28.74</v>
      </c>
      <c r="N4" s="91">
        <f t="shared" ref="N4:N9" si="3">_xlfn.STDEV.S(J4:L4)</f>
        <v>0.05196152423</v>
      </c>
      <c r="O4" s="91">
        <f t="shared" ref="O4:O9" si="4">ABS(H4-M4)</f>
        <v>1.43</v>
      </c>
      <c r="P4" s="63">
        <v>24.315</v>
      </c>
      <c r="Q4" s="92">
        <v>24.264</v>
      </c>
      <c r="R4" s="92">
        <v>24.241</v>
      </c>
      <c r="S4" s="91">
        <v>24.273</v>
      </c>
      <c r="T4" s="91">
        <v>0.038</v>
      </c>
      <c r="U4" s="64">
        <v>25.34</v>
      </c>
      <c r="V4" s="91">
        <v>25.29</v>
      </c>
      <c r="W4" s="91">
        <v>25.18</v>
      </c>
      <c r="X4" s="91">
        <f t="shared" ref="X4:X9" si="5">AVERAGE(U4:W4)</f>
        <v>25.27</v>
      </c>
      <c r="Y4" s="93">
        <f t="shared" ref="Y4:Y9" si="6">_xlfn.STDEV.S(U4:W4)</f>
        <v>0.08185352772</v>
      </c>
      <c r="Z4" s="94">
        <f t="shared" ref="Z4:Z9" si="7">ABS(S4-X4)</f>
        <v>0.997</v>
      </c>
    </row>
    <row r="5" ht="14.25" customHeight="1">
      <c r="A5" s="95">
        <v>44648.0</v>
      </c>
      <c r="B5" s="18" t="s">
        <v>20</v>
      </c>
      <c r="C5" s="1" t="s">
        <v>17</v>
      </c>
      <c r="E5" s="68">
        <v>29.856</v>
      </c>
      <c r="F5" s="96">
        <v>29.948</v>
      </c>
      <c r="G5" s="96">
        <v>30.012</v>
      </c>
      <c r="H5" s="96">
        <f t="shared" si="1"/>
        <v>29.93866667</v>
      </c>
      <c r="I5" s="96">
        <v>0.079</v>
      </c>
      <c r="J5" s="68">
        <v>31.56</v>
      </c>
      <c r="K5" s="96">
        <v>31.15</v>
      </c>
      <c r="L5" s="96">
        <v>31.15</v>
      </c>
      <c r="M5" s="96">
        <f t="shared" si="2"/>
        <v>31.28666667</v>
      </c>
      <c r="N5" s="96">
        <f t="shared" si="3"/>
        <v>0.2367136104</v>
      </c>
      <c r="O5" s="96">
        <f t="shared" si="4"/>
        <v>1.348</v>
      </c>
      <c r="P5" s="67">
        <v>21.819</v>
      </c>
      <c r="Q5" s="97">
        <v>21.843</v>
      </c>
      <c r="R5" s="97">
        <v>21.759</v>
      </c>
      <c r="S5" s="96">
        <v>21.807</v>
      </c>
      <c r="T5" s="96">
        <v>0.043</v>
      </c>
      <c r="U5" s="68">
        <v>23.13</v>
      </c>
      <c r="V5" s="96">
        <v>22.96</v>
      </c>
      <c r="W5" s="96">
        <v>22.95</v>
      </c>
      <c r="X5" s="96">
        <f t="shared" si="5"/>
        <v>23.01333333</v>
      </c>
      <c r="Y5" s="98">
        <f t="shared" si="6"/>
        <v>0.1011599394</v>
      </c>
      <c r="Z5" s="94">
        <f t="shared" si="7"/>
        <v>1.206333333</v>
      </c>
    </row>
    <row r="6" ht="14.25" customHeight="1">
      <c r="A6" s="95">
        <v>44649.0</v>
      </c>
      <c r="B6" s="18" t="s">
        <v>21</v>
      </c>
      <c r="C6" s="1" t="s">
        <v>17</v>
      </c>
      <c r="E6" s="68">
        <v>29.936</v>
      </c>
      <c r="F6" s="96">
        <v>29.977</v>
      </c>
      <c r="G6" s="96">
        <v>29.979</v>
      </c>
      <c r="H6" s="96">
        <f t="shared" si="1"/>
        <v>29.964</v>
      </c>
      <c r="I6" s="96">
        <v>0.024</v>
      </c>
      <c r="J6" s="68">
        <v>31.16</v>
      </c>
      <c r="K6" s="96">
        <v>31.2</v>
      </c>
      <c r="L6" s="96">
        <v>31.21</v>
      </c>
      <c r="M6" s="96">
        <f t="shared" si="2"/>
        <v>31.19</v>
      </c>
      <c r="N6" s="96">
        <f t="shared" si="3"/>
        <v>0.02645751311</v>
      </c>
      <c r="O6" s="96">
        <f t="shared" si="4"/>
        <v>1.226</v>
      </c>
      <c r="P6" s="67">
        <v>21.748</v>
      </c>
      <c r="Q6" s="97">
        <v>21.789</v>
      </c>
      <c r="R6" s="97">
        <v>21.768</v>
      </c>
      <c r="S6" s="96">
        <v>21.768</v>
      </c>
      <c r="T6" s="96">
        <v>0.02</v>
      </c>
      <c r="U6" s="68">
        <v>22.79</v>
      </c>
      <c r="V6" s="96">
        <v>22.88</v>
      </c>
      <c r="W6" s="96">
        <v>22.85</v>
      </c>
      <c r="X6" s="96">
        <f t="shared" si="5"/>
        <v>22.84</v>
      </c>
      <c r="Y6" s="98">
        <f t="shared" si="6"/>
        <v>0.04582575695</v>
      </c>
      <c r="Z6" s="94">
        <f t="shared" si="7"/>
        <v>1.072</v>
      </c>
    </row>
    <row r="7" ht="14.25" customHeight="1">
      <c r="A7" s="95">
        <v>44673.0</v>
      </c>
      <c r="B7" s="18" t="s">
        <v>16</v>
      </c>
      <c r="C7" s="1" t="s">
        <v>17</v>
      </c>
      <c r="D7" s="1" t="s">
        <v>45</v>
      </c>
      <c r="E7" s="68">
        <v>19.722</v>
      </c>
      <c r="F7" s="96">
        <v>19.73</v>
      </c>
      <c r="G7" s="96">
        <v>19.695</v>
      </c>
      <c r="H7" s="96">
        <f t="shared" si="1"/>
        <v>19.71566667</v>
      </c>
      <c r="I7" s="96">
        <v>0.018</v>
      </c>
      <c r="J7" s="68">
        <v>20.9</v>
      </c>
      <c r="K7" s="96">
        <v>20.88</v>
      </c>
      <c r="L7" s="96">
        <v>20.73</v>
      </c>
      <c r="M7" s="96">
        <f t="shared" si="2"/>
        <v>20.83666667</v>
      </c>
      <c r="N7" s="96">
        <f t="shared" si="3"/>
        <v>0.09291573243</v>
      </c>
      <c r="O7" s="96">
        <f t="shared" si="4"/>
        <v>1.121</v>
      </c>
      <c r="P7" s="67">
        <v>18.573</v>
      </c>
      <c r="Q7" s="97">
        <v>18.349</v>
      </c>
      <c r="R7" s="97">
        <v>18.295</v>
      </c>
      <c r="S7" s="96">
        <v>18.406</v>
      </c>
      <c r="T7" s="96">
        <v>0.148</v>
      </c>
      <c r="U7" s="99">
        <v>19.62</v>
      </c>
      <c r="V7" s="100">
        <v>19.7</v>
      </c>
      <c r="W7" s="101" t="s">
        <v>62</v>
      </c>
      <c r="X7" s="100">
        <f t="shared" si="5"/>
        <v>19.66</v>
      </c>
      <c r="Y7" s="102">
        <f t="shared" si="6"/>
        <v>0.05656854249</v>
      </c>
      <c r="Z7" s="94">
        <f t="shared" si="7"/>
        <v>1.254</v>
      </c>
    </row>
    <row r="8" ht="14.25" customHeight="1">
      <c r="A8" s="95">
        <v>44674.0</v>
      </c>
      <c r="B8" s="18" t="s">
        <v>20</v>
      </c>
      <c r="C8" s="1" t="s">
        <v>17</v>
      </c>
      <c r="D8" s="1" t="s">
        <v>46</v>
      </c>
      <c r="E8" s="68">
        <v>21.419</v>
      </c>
      <c r="F8" s="96">
        <v>21.378</v>
      </c>
      <c r="G8" s="96">
        <v>21.373</v>
      </c>
      <c r="H8" s="96">
        <f t="shared" si="1"/>
        <v>21.39</v>
      </c>
      <c r="I8" s="96">
        <v>0.025</v>
      </c>
      <c r="J8" s="68">
        <v>22.24</v>
      </c>
      <c r="K8" s="96">
        <v>22.64</v>
      </c>
      <c r="L8" s="96">
        <v>22.56</v>
      </c>
      <c r="M8" s="96">
        <f t="shared" si="2"/>
        <v>22.48</v>
      </c>
      <c r="N8" s="96">
        <f t="shared" si="3"/>
        <v>0.2116601049</v>
      </c>
      <c r="O8" s="96">
        <f t="shared" si="4"/>
        <v>1.09</v>
      </c>
      <c r="P8" s="67">
        <v>20.067</v>
      </c>
      <c r="Q8" s="97">
        <v>19.784</v>
      </c>
      <c r="R8" s="97">
        <v>19.734</v>
      </c>
      <c r="S8" s="96">
        <v>19.862</v>
      </c>
      <c r="T8" s="96">
        <v>0.18</v>
      </c>
      <c r="U8" s="68">
        <v>20.98</v>
      </c>
      <c r="V8" s="96">
        <v>20.91</v>
      </c>
      <c r="W8" s="101" t="s">
        <v>62</v>
      </c>
      <c r="X8" s="96">
        <f t="shared" si="5"/>
        <v>20.945</v>
      </c>
      <c r="Y8" s="98">
        <f t="shared" si="6"/>
        <v>0.04949747468</v>
      </c>
      <c r="Z8" s="94">
        <f t="shared" si="7"/>
        <v>1.083</v>
      </c>
    </row>
    <row r="9" ht="14.25" customHeight="1">
      <c r="A9" s="103">
        <v>44675.0</v>
      </c>
      <c r="B9" s="47" t="s">
        <v>21</v>
      </c>
      <c r="C9" s="48" t="s">
        <v>17</v>
      </c>
      <c r="D9" s="48" t="s">
        <v>47</v>
      </c>
      <c r="E9" s="72">
        <v>23.675</v>
      </c>
      <c r="F9" s="104">
        <v>23.569</v>
      </c>
      <c r="G9" s="104">
        <v>23.567</v>
      </c>
      <c r="H9" s="104">
        <f t="shared" si="1"/>
        <v>23.60366667</v>
      </c>
      <c r="I9" s="104">
        <v>0.062</v>
      </c>
      <c r="J9" s="72">
        <v>24.99</v>
      </c>
      <c r="K9" s="104">
        <v>24.96</v>
      </c>
      <c r="L9" s="104">
        <v>25.23</v>
      </c>
      <c r="M9" s="104">
        <f t="shared" si="2"/>
        <v>25.06</v>
      </c>
      <c r="N9" s="104">
        <f t="shared" si="3"/>
        <v>0.1479864859</v>
      </c>
      <c r="O9" s="104">
        <f t="shared" si="4"/>
        <v>1.456333333</v>
      </c>
      <c r="P9" s="71">
        <v>22.258</v>
      </c>
      <c r="Q9" s="105">
        <v>22.151</v>
      </c>
      <c r="R9" s="105">
        <v>22.212</v>
      </c>
      <c r="S9" s="104">
        <v>22.207</v>
      </c>
      <c r="T9" s="104">
        <v>0.054</v>
      </c>
      <c r="U9" s="72">
        <v>23.63</v>
      </c>
      <c r="V9" s="104">
        <v>23.5</v>
      </c>
      <c r="W9" s="106" t="s">
        <v>62</v>
      </c>
      <c r="X9" s="104">
        <f t="shared" si="5"/>
        <v>23.565</v>
      </c>
      <c r="Y9" s="107">
        <f t="shared" si="6"/>
        <v>0.09192388155</v>
      </c>
      <c r="Z9" s="108">
        <f t="shared" si="7"/>
        <v>1.358</v>
      </c>
    </row>
    <row r="10" ht="14.25" customHeight="1"/>
    <row r="11" ht="14.25" customHeight="1">
      <c r="C11" s="18" t="s">
        <v>32</v>
      </c>
      <c r="E11" s="18" t="s">
        <v>33</v>
      </c>
    </row>
    <row r="12" ht="14.25" customHeight="1">
      <c r="B12" s="4" t="s">
        <v>0</v>
      </c>
      <c r="C12" s="109" t="s">
        <v>63</v>
      </c>
      <c r="D12" s="1" t="s">
        <v>64</v>
      </c>
      <c r="E12" s="1" t="s">
        <v>65</v>
      </c>
      <c r="F12" s="1" t="s">
        <v>66</v>
      </c>
    </row>
    <row r="13" ht="14.25" customHeight="1">
      <c r="B13" s="88">
        <v>44647.0</v>
      </c>
      <c r="C13" s="91">
        <v>27.310000000000002</v>
      </c>
      <c r="D13" s="110">
        <v>28.74</v>
      </c>
      <c r="E13" s="110">
        <v>24.273</v>
      </c>
      <c r="F13" s="110">
        <v>25.27</v>
      </c>
    </row>
    <row r="14" ht="14.25" customHeight="1">
      <c r="B14" s="95">
        <v>44648.0</v>
      </c>
      <c r="C14" s="96">
        <v>29.938666666666666</v>
      </c>
      <c r="D14" s="110">
        <v>31.28666666666666</v>
      </c>
      <c r="E14" s="110">
        <v>21.807</v>
      </c>
      <c r="F14" s="110">
        <v>23.013333333333335</v>
      </c>
    </row>
    <row r="15" ht="14.25" customHeight="1">
      <c r="B15" s="95">
        <v>44649.0</v>
      </c>
      <c r="C15" s="96">
        <v>29.964</v>
      </c>
      <c r="D15" s="110">
        <v>31.189999999999998</v>
      </c>
      <c r="E15" s="110">
        <v>21.768</v>
      </c>
      <c r="F15" s="110">
        <v>22.840000000000003</v>
      </c>
    </row>
    <row r="16" ht="14.25" customHeight="1">
      <c r="B16" s="95">
        <v>44673.0</v>
      </c>
      <c r="C16" s="96">
        <v>19.715666666666667</v>
      </c>
      <c r="D16" s="110">
        <v>20.83666666666667</v>
      </c>
      <c r="E16" s="110">
        <v>18.406</v>
      </c>
      <c r="F16" s="110">
        <v>19.66</v>
      </c>
    </row>
    <row r="17" ht="14.25" customHeight="1">
      <c r="B17" s="95">
        <v>44674.0</v>
      </c>
      <c r="C17" s="96">
        <v>21.39</v>
      </c>
      <c r="D17" s="110">
        <v>22.48</v>
      </c>
      <c r="E17" s="110">
        <v>19.862</v>
      </c>
      <c r="F17" s="110">
        <v>20.945</v>
      </c>
    </row>
    <row r="18" ht="14.25" customHeight="1">
      <c r="B18" s="103">
        <v>44675.0</v>
      </c>
      <c r="C18" s="104">
        <v>23.60366666666667</v>
      </c>
      <c r="D18" s="110">
        <v>25.060000000000002</v>
      </c>
      <c r="E18" s="110">
        <v>22.207</v>
      </c>
      <c r="F18" s="110">
        <v>23.564999999999998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>
      <c r="A28" s="111" t="s">
        <v>67</v>
      </c>
    </row>
    <row r="29" ht="14.25" customHeight="1">
      <c r="A29" s="112"/>
      <c r="B29" s="113"/>
      <c r="C29" s="113"/>
      <c r="D29" s="114" t="s">
        <v>58</v>
      </c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6"/>
      <c r="V29" s="117"/>
      <c r="W29" s="118"/>
      <c r="Y29" s="119" t="s">
        <v>68</v>
      </c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7"/>
      <c r="AS29" s="118"/>
    </row>
    <row r="30" ht="14.25" customHeight="1">
      <c r="A30" s="120" t="s">
        <v>69</v>
      </c>
      <c r="B30" s="111" t="s">
        <v>70</v>
      </c>
      <c r="C30" s="111" t="s">
        <v>71</v>
      </c>
      <c r="D30" s="121" t="s">
        <v>8</v>
      </c>
      <c r="E30" s="122" t="s">
        <v>9</v>
      </c>
      <c r="F30" s="122" t="s">
        <v>10</v>
      </c>
      <c r="G30" s="122" t="s">
        <v>72</v>
      </c>
      <c r="H30" s="122" t="s">
        <v>73</v>
      </c>
      <c r="I30" s="122" t="s">
        <v>74</v>
      </c>
      <c r="J30" s="122" t="s">
        <v>75</v>
      </c>
      <c r="K30" s="122" t="s">
        <v>76</v>
      </c>
      <c r="L30" s="122" t="s">
        <v>77</v>
      </c>
      <c r="M30" s="122" t="s">
        <v>78</v>
      </c>
      <c r="N30" s="122" t="s">
        <v>79</v>
      </c>
      <c r="O30" s="122" t="s">
        <v>80</v>
      </c>
      <c r="P30" s="122" t="s">
        <v>81</v>
      </c>
      <c r="Q30" s="122" t="s">
        <v>82</v>
      </c>
      <c r="R30" s="122" t="s">
        <v>83</v>
      </c>
      <c r="S30" s="122" t="s">
        <v>84</v>
      </c>
      <c r="T30" s="123" t="s">
        <v>11</v>
      </c>
      <c r="U30" s="29" t="s">
        <v>12</v>
      </c>
      <c r="V30" s="111" t="s">
        <v>85</v>
      </c>
      <c r="W30" s="125" t="s">
        <v>86</v>
      </c>
      <c r="X30" s="111" t="s">
        <v>87</v>
      </c>
      <c r="Y30" s="121" t="s">
        <v>8</v>
      </c>
      <c r="Z30" s="122" t="s">
        <v>9</v>
      </c>
      <c r="AA30" s="122" t="s">
        <v>10</v>
      </c>
      <c r="AB30" s="122" t="s">
        <v>72</v>
      </c>
      <c r="AC30" s="122" t="s">
        <v>73</v>
      </c>
      <c r="AD30" s="122" t="s">
        <v>74</v>
      </c>
      <c r="AE30" s="122" t="s">
        <v>75</v>
      </c>
      <c r="AF30" s="122" t="s">
        <v>76</v>
      </c>
      <c r="AG30" s="122" t="s">
        <v>77</v>
      </c>
      <c r="AH30" s="122" t="s">
        <v>78</v>
      </c>
      <c r="AI30" s="122" t="s">
        <v>79</v>
      </c>
      <c r="AJ30" s="122" t="s">
        <v>80</v>
      </c>
      <c r="AK30" s="122" t="s">
        <v>81</v>
      </c>
      <c r="AL30" s="122" t="s">
        <v>82</v>
      </c>
      <c r="AM30" s="122" t="s">
        <v>83</v>
      </c>
      <c r="AN30" s="122" t="s">
        <v>84</v>
      </c>
      <c r="AO30" s="123" t="s">
        <v>11</v>
      </c>
      <c r="AP30" s="29" t="s">
        <v>12</v>
      </c>
      <c r="AQ30" s="111" t="s">
        <v>88</v>
      </c>
      <c r="AR30" s="111" t="s">
        <v>85</v>
      </c>
      <c r="AS30" s="125" t="s">
        <v>86</v>
      </c>
      <c r="AT30" s="111" t="s">
        <v>87</v>
      </c>
    </row>
    <row r="31" ht="14.25" customHeight="1">
      <c r="A31" s="30" t="s">
        <v>89</v>
      </c>
      <c r="B31" s="18">
        <v>1000000.0</v>
      </c>
      <c r="C31" s="18">
        <v>3000000.0</v>
      </c>
      <c r="D31" s="12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127">
        <v>16.89</v>
      </c>
      <c r="U31" s="111"/>
      <c r="V31" s="111"/>
      <c r="W31" s="125"/>
      <c r="X31" s="111"/>
      <c r="Y31" s="1">
        <v>18.3</v>
      </c>
      <c r="Z31" s="1">
        <v>18.44</v>
      </c>
      <c r="AA31" s="128" t="s">
        <v>62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110">
        <v>18.37</v>
      </c>
      <c r="AP31" s="111"/>
      <c r="AQ31" s="111"/>
      <c r="AR31" s="111"/>
      <c r="AS31" s="125"/>
      <c r="AT31" s="111"/>
    </row>
    <row r="32" ht="14.25" customHeight="1">
      <c r="A32" s="30" t="s">
        <v>89</v>
      </c>
      <c r="B32" s="18">
        <v>10000.0</v>
      </c>
      <c r="C32" s="18">
        <v>30000.0</v>
      </c>
      <c r="D32" s="126"/>
      <c r="E32" s="129">
        <v>25.10669</v>
      </c>
      <c r="F32" s="129">
        <v>25.097382</v>
      </c>
      <c r="G32" s="129">
        <v>25.0802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110">
        <v>25.094757333333334</v>
      </c>
      <c r="U32" s="111"/>
      <c r="V32" s="111"/>
      <c r="W32" s="125"/>
      <c r="X32" s="111"/>
      <c r="Y32" s="1">
        <v>25.92</v>
      </c>
      <c r="Z32" s="1">
        <v>25.97</v>
      </c>
      <c r="AA32" s="128" t="s">
        <v>62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110">
        <v>25.945</v>
      </c>
      <c r="AP32" s="111"/>
      <c r="AQ32" s="111"/>
      <c r="AR32" s="111"/>
      <c r="AS32" s="125"/>
      <c r="AT32" s="111"/>
    </row>
    <row r="33" ht="14.25" customHeight="1">
      <c r="A33" s="30" t="s">
        <v>89</v>
      </c>
      <c r="B33" s="18">
        <v>100.0</v>
      </c>
      <c r="C33" s="18">
        <v>300.0</v>
      </c>
      <c r="D33" s="126"/>
      <c r="E33" s="129">
        <v>31.523716</v>
      </c>
      <c r="F33" s="129">
        <v>31.646288</v>
      </c>
      <c r="G33" s="129">
        <v>31.622086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110">
        <v>31.597363333333334</v>
      </c>
      <c r="U33" s="111"/>
      <c r="V33" s="111"/>
      <c r="W33" s="125"/>
      <c r="X33" s="111"/>
      <c r="Y33" s="1">
        <v>32.14</v>
      </c>
      <c r="Z33" s="1">
        <v>32.05</v>
      </c>
      <c r="AA33" s="128" t="s">
        <v>62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110">
        <v>32.095</v>
      </c>
      <c r="AP33" s="111"/>
      <c r="AQ33" s="111"/>
      <c r="AR33" s="111"/>
      <c r="AS33" s="125"/>
      <c r="AT33" s="111"/>
    </row>
    <row r="34" ht="14.25" customHeight="1">
      <c r="A34" s="30" t="s">
        <v>89</v>
      </c>
      <c r="B34" s="18">
        <v>1.0</v>
      </c>
      <c r="C34" s="18">
        <v>3.0</v>
      </c>
      <c r="D34" s="126"/>
      <c r="E34" s="130">
        <v>37.967995</v>
      </c>
      <c r="F34" s="130">
        <v>38.323853</v>
      </c>
      <c r="G34" s="130">
        <v>37.45602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131">
        <v>37.915956</v>
      </c>
      <c r="U34" s="111"/>
      <c r="V34" s="111"/>
      <c r="W34" s="125"/>
      <c r="X34" s="111"/>
      <c r="Y34" s="34">
        <v>39.03</v>
      </c>
      <c r="Z34" s="34">
        <v>39.72</v>
      </c>
      <c r="AA34" s="132" t="s">
        <v>62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131">
        <v>39.375</v>
      </c>
      <c r="AP34" s="111"/>
      <c r="AQ34" s="111"/>
      <c r="AR34" s="111"/>
      <c r="AS34" s="125"/>
      <c r="AT34" s="111"/>
    </row>
    <row r="35" ht="14.25" customHeight="1">
      <c r="A35" s="30" t="s">
        <v>90</v>
      </c>
      <c r="B35" s="133">
        <v>2.0</v>
      </c>
      <c r="C35" s="133">
        <v>6.0</v>
      </c>
      <c r="D35" s="31">
        <v>36.1106</v>
      </c>
      <c r="E35" s="24">
        <v>38.81355</v>
      </c>
      <c r="F35" s="24">
        <v>36.443874</v>
      </c>
      <c r="G35" s="24">
        <v>37.461044</v>
      </c>
      <c r="H35" s="24">
        <v>36.724087</v>
      </c>
      <c r="I35" s="24">
        <v>37.484257</v>
      </c>
      <c r="J35" s="24">
        <v>36.61981</v>
      </c>
      <c r="K35" s="24">
        <v>36.95253</v>
      </c>
      <c r="L35" s="24">
        <v>36.98395</v>
      </c>
      <c r="M35" s="24">
        <v>38.870296</v>
      </c>
      <c r="N35" s="24">
        <v>37.05414</v>
      </c>
      <c r="O35" s="24">
        <v>39.124123</v>
      </c>
      <c r="P35" s="24">
        <v>36.75396</v>
      </c>
      <c r="Q35" s="24">
        <v>36.999153</v>
      </c>
      <c r="R35" s="24">
        <v>37.068447</v>
      </c>
      <c r="S35" s="24">
        <v>36.332203</v>
      </c>
      <c r="T35" s="30">
        <f t="shared" ref="T35:T38" si="8">AVERAGE(D35:S35)</f>
        <v>37.2372515</v>
      </c>
      <c r="U35" s="24">
        <f t="shared" ref="U35:U38" si="9">_xlfn.STDEV.P(D35:S35)</f>
        <v>0.8903272063</v>
      </c>
      <c r="V35" s="133">
        <v>16.0</v>
      </c>
      <c r="W35" s="134">
        <v>0.0</v>
      </c>
      <c r="X35" s="1">
        <f>(16/16)*100</f>
        <v>100</v>
      </c>
      <c r="Y35" s="23" t="s">
        <v>91</v>
      </c>
      <c r="Z35" s="18">
        <v>37.84</v>
      </c>
      <c r="AA35" s="18">
        <v>38.6</v>
      </c>
      <c r="AB35" s="18">
        <v>38.72</v>
      </c>
      <c r="AC35" s="18">
        <v>39.2</v>
      </c>
      <c r="AD35" s="18">
        <v>38.57</v>
      </c>
      <c r="AE35" s="18" t="s">
        <v>91</v>
      </c>
      <c r="AF35" s="18">
        <v>38.62</v>
      </c>
      <c r="AG35" s="18" t="s">
        <v>91</v>
      </c>
      <c r="AH35" s="18">
        <v>38.15</v>
      </c>
      <c r="AI35" s="18">
        <v>40.69</v>
      </c>
      <c r="AJ35" s="18">
        <v>38.1</v>
      </c>
      <c r="AK35" s="18">
        <v>39.74</v>
      </c>
      <c r="AL35" s="18">
        <v>40.82</v>
      </c>
      <c r="AM35" s="18">
        <v>39.99</v>
      </c>
      <c r="AN35" s="18">
        <v>39.44</v>
      </c>
      <c r="AO35" s="30">
        <f>AVERAGE(Z35:AN35)</f>
        <v>39.11384615</v>
      </c>
      <c r="AP35" s="24">
        <f t="shared" ref="AP35:AP38" si="10">_xlfn.STDEV.P(Y35:AN35)</f>
        <v>0.9284854372</v>
      </c>
      <c r="AQ35" s="18"/>
      <c r="AR35" s="133" t="s">
        <v>93</v>
      </c>
      <c r="AS35" s="134" t="s">
        <v>94</v>
      </c>
      <c r="AT35" s="1">
        <f>(13/16)*100</f>
        <v>81.25</v>
      </c>
    </row>
    <row r="36" ht="14.25" customHeight="1">
      <c r="A36" s="30" t="s">
        <v>90</v>
      </c>
      <c r="B36" s="133">
        <v>1.0</v>
      </c>
      <c r="C36" s="133">
        <v>3.0</v>
      </c>
      <c r="D36" s="31">
        <v>37.4566</v>
      </c>
      <c r="E36" s="24">
        <v>36.96295</v>
      </c>
      <c r="F36" s="24">
        <v>37.973804</v>
      </c>
      <c r="G36" s="24">
        <v>37.431454</v>
      </c>
      <c r="H36" s="24" t="s">
        <v>91</v>
      </c>
      <c r="I36" s="24">
        <v>38.163147</v>
      </c>
      <c r="J36" s="24">
        <v>37.446163</v>
      </c>
      <c r="K36" s="24">
        <v>38.213226</v>
      </c>
      <c r="L36" s="24" t="s">
        <v>91</v>
      </c>
      <c r="M36" s="24">
        <v>37.358963</v>
      </c>
      <c r="N36" s="24">
        <v>36.97075</v>
      </c>
      <c r="O36" s="24">
        <v>37.373337</v>
      </c>
      <c r="P36" s="24">
        <v>36.41116</v>
      </c>
      <c r="Q36" s="24">
        <v>36.91512</v>
      </c>
      <c r="R36" s="24" t="s">
        <v>91</v>
      </c>
      <c r="S36" s="24">
        <v>37.083138</v>
      </c>
      <c r="T36" s="30">
        <f t="shared" si="8"/>
        <v>37.36613938</v>
      </c>
      <c r="U36" s="24">
        <f t="shared" si="9"/>
        <v>0.5004134986</v>
      </c>
      <c r="V36" s="133">
        <v>13.0</v>
      </c>
      <c r="W36" s="134">
        <v>3.0</v>
      </c>
      <c r="X36" s="1">
        <f>(13/16)*100</f>
        <v>81.25</v>
      </c>
      <c r="Y36" s="23">
        <v>39.67</v>
      </c>
      <c r="Z36" s="18">
        <v>38.77</v>
      </c>
      <c r="AA36" s="18" t="s">
        <v>91</v>
      </c>
      <c r="AB36" s="18" t="s">
        <v>91</v>
      </c>
      <c r="AC36" s="18">
        <v>38.12</v>
      </c>
      <c r="AD36" s="18">
        <v>39.34</v>
      </c>
      <c r="AE36" s="18">
        <v>40.71</v>
      </c>
      <c r="AF36" s="18">
        <v>38.84</v>
      </c>
      <c r="AG36" s="18">
        <v>39.79</v>
      </c>
      <c r="AH36" s="18">
        <v>40.74</v>
      </c>
      <c r="AI36" s="18" t="s">
        <v>91</v>
      </c>
      <c r="AJ36" s="18" t="s">
        <v>91</v>
      </c>
      <c r="AK36" s="18">
        <v>40.77</v>
      </c>
      <c r="AL36" s="18">
        <v>40.63</v>
      </c>
      <c r="AM36" s="18">
        <v>39.76</v>
      </c>
      <c r="AN36" s="18" t="s">
        <v>91</v>
      </c>
      <c r="AO36" s="30">
        <f t="shared" ref="AO36:AO38" si="11">AVERAGE(Y36:AN36)</f>
        <v>39.74</v>
      </c>
      <c r="AP36" s="24">
        <f t="shared" si="10"/>
        <v>0.8705797441</v>
      </c>
      <c r="AQ36" s="18"/>
      <c r="AR36" s="133">
        <v>11.0</v>
      </c>
      <c r="AS36" s="134">
        <v>5.0</v>
      </c>
      <c r="AT36" s="1">
        <f>(11/16)*100</f>
        <v>68.75</v>
      </c>
    </row>
    <row r="37" ht="14.25" customHeight="1">
      <c r="A37" s="30" t="s">
        <v>90</v>
      </c>
      <c r="B37" s="24">
        <v>0.5</v>
      </c>
      <c r="C37" s="24">
        <v>1.5</v>
      </c>
      <c r="D37" s="31">
        <v>37.79229</v>
      </c>
      <c r="E37" s="24">
        <v>37.9902</v>
      </c>
      <c r="F37" s="24">
        <v>37.961395</v>
      </c>
      <c r="G37" s="24" t="s">
        <v>91</v>
      </c>
      <c r="H37" s="24" t="s">
        <v>91</v>
      </c>
      <c r="I37" s="24" t="s">
        <v>91</v>
      </c>
      <c r="J37" s="24">
        <v>37.085228</v>
      </c>
      <c r="K37" s="24">
        <v>38.982067</v>
      </c>
      <c r="L37" s="24" t="s">
        <v>91</v>
      </c>
      <c r="M37" s="24" t="s">
        <v>91</v>
      </c>
      <c r="N37" s="24" t="s">
        <v>91</v>
      </c>
      <c r="O37" s="24" t="s">
        <v>91</v>
      </c>
      <c r="P37" s="24" t="s">
        <v>91</v>
      </c>
      <c r="Q37" s="24">
        <v>38.84432</v>
      </c>
      <c r="R37" s="24">
        <v>39.041412</v>
      </c>
      <c r="S37" s="24" t="s">
        <v>91</v>
      </c>
      <c r="T37" s="30">
        <f t="shared" si="8"/>
        <v>38.242416</v>
      </c>
      <c r="U37" s="24">
        <f t="shared" si="9"/>
        <v>0.6795008495</v>
      </c>
      <c r="V37" s="133">
        <v>7.0</v>
      </c>
      <c r="W37" s="134">
        <v>9.0</v>
      </c>
      <c r="X37" s="1">
        <f t="shared" ref="X37:X38" si="12">(7/16)*100</f>
        <v>43.75</v>
      </c>
      <c r="Y37" s="23" t="s">
        <v>91</v>
      </c>
      <c r="Z37" s="18">
        <v>39.64</v>
      </c>
      <c r="AA37" s="18" t="s">
        <v>91</v>
      </c>
      <c r="AB37" s="18" t="s">
        <v>91</v>
      </c>
      <c r="AC37" s="18" t="s">
        <v>91</v>
      </c>
      <c r="AD37" s="18">
        <v>39.49</v>
      </c>
      <c r="AE37" s="18">
        <v>40.96</v>
      </c>
      <c r="AF37" s="18">
        <v>39.82</v>
      </c>
      <c r="AG37" s="18" t="s">
        <v>91</v>
      </c>
      <c r="AH37" s="18" t="s">
        <v>91</v>
      </c>
      <c r="AI37" s="18" t="s">
        <v>91</v>
      </c>
      <c r="AJ37" s="18" t="s">
        <v>91</v>
      </c>
      <c r="AK37" s="18">
        <v>39.73</v>
      </c>
      <c r="AL37" s="18" t="s">
        <v>91</v>
      </c>
      <c r="AM37" s="18">
        <v>40.74</v>
      </c>
      <c r="AN37" s="18" t="s">
        <v>91</v>
      </c>
      <c r="AO37" s="30">
        <f t="shared" si="11"/>
        <v>40.06333333</v>
      </c>
      <c r="AP37" s="24">
        <f t="shared" si="10"/>
        <v>0.5686436103</v>
      </c>
      <c r="AQ37" s="18"/>
      <c r="AR37" s="133">
        <v>6.0</v>
      </c>
      <c r="AS37" s="134">
        <v>10.0</v>
      </c>
      <c r="AT37" s="1">
        <f>(6/16)*100</f>
        <v>37.5</v>
      </c>
    </row>
    <row r="38" ht="14.25" customHeight="1">
      <c r="A38" s="35" t="s">
        <v>90</v>
      </c>
      <c r="B38" s="37">
        <v>0.25</v>
      </c>
      <c r="C38" s="37">
        <v>0.75</v>
      </c>
      <c r="D38" s="50">
        <v>37.894955</v>
      </c>
      <c r="E38" s="51" t="s">
        <v>91</v>
      </c>
      <c r="F38" s="51" t="s">
        <v>91</v>
      </c>
      <c r="G38" s="51" t="s">
        <v>91</v>
      </c>
      <c r="H38" s="51">
        <v>39.04596</v>
      </c>
      <c r="I38" s="51" t="s">
        <v>91</v>
      </c>
      <c r="J38" s="51">
        <v>38.606342</v>
      </c>
      <c r="K38" s="51">
        <v>38.2262</v>
      </c>
      <c r="L38" s="51" t="s">
        <v>91</v>
      </c>
      <c r="M38" s="51" t="s">
        <v>91</v>
      </c>
      <c r="N38" s="51">
        <v>38.318985</v>
      </c>
      <c r="O38" s="51" t="s">
        <v>91</v>
      </c>
      <c r="P38" s="51" t="s">
        <v>91</v>
      </c>
      <c r="Q38" s="51">
        <v>37.8676</v>
      </c>
      <c r="R38" s="51" t="s">
        <v>91</v>
      </c>
      <c r="S38" s="51">
        <v>37.97483</v>
      </c>
      <c r="T38" s="49">
        <f t="shared" si="8"/>
        <v>38.27641029</v>
      </c>
      <c r="U38" s="51">
        <f t="shared" si="9"/>
        <v>0.3980272839</v>
      </c>
      <c r="V38" s="139">
        <v>7.0</v>
      </c>
      <c r="W38" s="140">
        <v>9.0</v>
      </c>
      <c r="X38" s="1">
        <f t="shared" si="12"/>
        <v>43.75</v>
      </c>
      <c r="Y38" s="141" t="s">
        <v>91</v>
      </c>
      <c r="Z38" s="47" t="s">
        <v>91</v>
      </c>
      <c r="AA38" s="47" t="s">
        <v>91</v>
      </c>
      <c r="AB38" s="47" t="s">
        <v>91</v>
      </c>
      <c r="AC38" s="47">
        <v>38.74</v>
      </c>
      <c r="AD38" s="47" t="s">
        <v>91</v>
      </c>
      <c r="AE38" s="47" t="s">
        <v>91</v>
      </c>
      <c r="AF38" s="47" t="s">
        <v>91</v>
      </c>
      <c r="AG38" s="47" t="s">
        <v>91</v>
      </c>
      <c r="AH38" s="47" t="s">
        <v>91</v>
      </c>
      <c r="AI38" s="47" t="s">
        <v>91</v>
      </c>
      <c r="AJ38" s="47" t="s">
        <v>91</v>
      </c>
      <c r="AK38" s="47" t="s">
        <v>91</v>
      </c>
      <c r="AL38" s="47" t="s">
        <v>91</v>
      </c>
      <c r="AM38" s="47">
        <v>39.87</v>
      </c>
      <c r="AN38" s="47" t="s">
        <v>91</v>
      </c>
      <c r="AO38" s="49">
        <f t="shared" si="11"/>
        <v>39.305</v>
      </c>
      <c r="AP38" s="51">
        <f t="shared" si="10"/>
        <v>0.565</v>
      </c>
      <c r="AQ38" s="47"/>
      <c r="AR38" s="139">
        <v>2.0</v>
      </c>
      <c r="AS38" s="140">
        <v>14.0</v>
      </c>
      <c r="AT38" s="1">
        <f>(2/16)*100</f>
        <v>12.5</v>
      </c>
    </row>
    <row r="39" ht="14.25" customHeight="1"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ht="14.25" customHeight="1"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</row>
    <row r="41" ht="14.25" customHeight="1"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</row>
    <row r="42" ht="14.25" customHeight="1">
      <c r="D42" s="153" t="s">
        <v>103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</row>
    <row r="43" ht="14.25" customHeight="1"/>
    <row r="44" ht="14.25" customHeight="1"/>
    <row r="45" ht="14.25" customHeight="1"/>
    <row r="46" ht="14.25" customHeight="1">
      <c r="C46" s="3" t="s">
        <v>71</v>
      </c>
      <c r="D46" s="3" t="s">
        <v>105</v>
      </c>
      <c r="E46" s="3" t="s">
        <v>59</v>
      </c>
    </row>
    <row r="47" ht="14.25" customHeight="1">
      <c r="C47" s="18">
        <v>3000000.0</v>
      </c>
      <c r="D47" s="24">
        <v>16.89</v>
      </c>
      <c r="E47" s="24">
        <v>18.37</v>
      </c>
    </row>
    <row r="48" ht="14.25" customHeight="1">
      <c r="C48" s="18">
        <v>30000.0</v>
      </c>
      <c r="D48" s="24">
        <v>25.094757333333334</v>
      </c>
      <c r="E48" s="24">
        <v>25.945</v>
      </c>
    </row>
    <row r="49" ht="14.25" customHeight="1">
      <c r="C49" s="18">
        <v>300.0</v>
      </c>
      <c r="D49" s="24">
        <v>31.597363333333334</v>
      </c>
      <c r="E49" s="24">
        <v>32.095</v>
      </c>
    </row>
    <row r="50" ht="14.25" customHeight="1">
      <c r="C50" s="18">
        <v>3.0</v>
      </c>
      <c r="D50" s="24">
        <v>37.915956</v>
      </c>
      <c r="E50" s="24">
        <v>39.375</v>
      </c>
    </row>
    <row r="51" ht="14.25" customHeight="1">
      <c r="C51" s="133">
        <v>6.0</v>
      </c>
      <c r="D51" s="24">
        <v>37.237251500000006</v>
      </c>
      <c r="E51" s="24">
        <v>39.113846153846154</v>
      </c>
    </row>
    <row r="52" ht="14.25" customHeight="1">
      <c r="C52" s="133">
        <v>3.0</v>
      </c>
      <c r="D52" s="24">
        <v>37.36613938461539</v>
      </c>
      <c r="E52" s="24">
        <v>39.74</v>
      </c>
    </row>
    <row r="53" ht="14.25" customHeight="1">
      <c r="C53" s="24">
        <v>1.5</v>
      </c>
      <c r="D53" s="24">
        <v>38.242416</v>
      </c>
      <c r="E53" s="24">
        <v>40.06333333333333</v>
      </c>
    </row>
    <row r="54" ht="14.25" customHeight="1">
      <c r="C54" s="24">
        <v>0.75</v>
      </c>
      <c r="D54" s="24">
        <v>38.27641028571429</v>
      </c>
      <c r="E54" s="24">
        <v>39.305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>
      <c r="A64" s="76" t="s">
        <v>59</v>
      </c>
      <c r="B64" s="77"/>
      <c r="C64" s="77"/>
      <c r="D64" s="78"/>
    </row>
    <row r="65" ht="14.25" customHeight="1">
      <c r="A65" s="160" t="s">
        <v>108</v>
      </c>
      <c r="B65" s="81"/>
      <c r="C65" s="81"/>
      <c r="D65" s="82"/>
    </row>
    <row r="66" ht="14.25" customHeight="1">
      <c r="A66" s="162" t="s">
        <v>0</v>
      </c>
      <c r="B66" s="163" t="s">
        <v>109</v>
      </c>
      <c r="C66" s="163" t="s">
        <v>110</v>
      </c>
      <c r="D66" s="164" t="s">
        <v>111</v>
      </c>
      <c r="E66" s="165" t="s">
        <v>112</v>
      </c>
    </row>
    <row r="67" ht="14.25" customHeight="1">
      <c r="A67" s="166" t="s">
        <v>113</v>
      </c>
      <c r="B67" s="167" t="s">
        <v>114</v>
      </c>
      <c r="C67" s="167">
        <v>35.9</v>
      </c>
      <c r="D67" s="168">
        <v>35.8</v>
      </c>
      <c r="E67" s="169">
        <v>34.461666666666666</v>
      </c>
    </row>
    <row r="68" ht="14.25" customHeight="1">
      <c r="A68" s="166" t="s">
        <v>115</v>
      </c>
      <c r="B68" s="167" t="s">
        <v>114</v>
      </c>
      <c r="C68" s="167">
        <v>32.2</v>
      </c>
      <c r="D68" s="168">
        <v>32.1</v>
      </c>
      <c r="E68" s="169">
        <v>31.060666666666663</v>
      </c>
    </row>
    <row r="69" ht="14.25" customHeight="1">
      <c r="A69" s="166" t="s">
        <v>116</v>
      </c>
      <c r="B69" s="167" t="s">
        <v>114</v>
      </c>
      <c r="C69" s="167">
        <v>28.7</v>
      </c>
      <c r="D69" s="168">
        <v>28.7</v>
      </c>
      <c r="E69" s="169">
        <v>27.78533333333333</v>
      </c>
    </row>
    <row r="70" ht="14.25" customHeight="1">
      <c r="A70" s="166" t="s">
        <v>117</v>
      </c>
      <c r="B70" s="167" t="s">
        <v>114</v>
      </c>
      <c r="C70" s="167">
        <v>25.1</v>
      </c>
      <c r="D70" s="168">
        <v>25.0</v>
      </c>
      <c r="E70" s="169">
        <v>24.24</v>
      </c>
    </row>
    <row r="71" ht="14.25" customHeight="1">
      <c r="A71" s="166" t="s">
        <v>118</v>
      </c>
      <c r="B71" s="167" t="s">
        <v>114</v>
      </c>
      <c r="C71" s="167">
        <v>21.7</v>
      </c>
      <c r="D71" s="168">
        <v>21.6</v>
      </c>
      <c r="E71" s="169">
        <v>20.834</v>
      </c>
    </row>
    <row r="72" ht="14.25" customHeight="1">
      <c r="A72" s="166" t="s">
        <v>119</v>
      </c>
      <c r="B72" s="167" t="s">
        <v>114</v>
      </c>
      <c r="C72" s="167">
        <v>18.4</v>
      </c>
      <c r="D72" s="168">
        <v>18.3</v>
      </c>
    </row>
    <row r="73" ht="14.25" customHeight="1">
      <c r="A73" s="166" t="s">
        <v>120</v>
      </c>
      <c r="B73" s="167" t="s">
        <v>114</v>
      </c>
      <c r="C73" s="167">
        <v>14.9</v>
      </c>
      <c r="D73" s="168">
        <v>14.9</v>
      </c>
    </row>
    <row r="74" ht="14.25" customHeight="1">
      <c r="A74" s="171" t="s">
        <v>121</v>
      </c>
      <c r="B74" s="172" t="s">
        <v>114</v>
      </c>
      <c r="C74" s="172">
        <v>11.3</v>
      </c>
      <c r="D74" s="174">
        <v>11.4</v>
      </c>
    </row>
    <row r="75" ht="14.25" customHeight="1"/>
    <row r="76" ht="14.25" customHeight="1"/>
    <row r="77" ht="14.25" customHeight="1">
      <c r="A77" s="2" t="s">
        <v>127</v>
      </c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C11:D11"/>
    <mergeCell ref="E11:F11"/>
    <mergeCell ref="D29:U29"/>
    <mergeCell ref="Y29:AP29"/>
    <mergeCell ref="A64:D64"/>
    <mergeCell ref="A65:D65"/>
    <mergeCell ref="A1:C1"/>
    <mergeCell ref="E1:O1"/>
    <mergeCell ref="P1:Z1"/>
    <mergeCell ref="E2:I2"/>
    <mergeCell ref="J2:O2"/>
    <mergeCell ref="P2:T2"/>
    <mergeCell ref="U2:Z2"/>
  </mergeCells>
  <printOptions/>
  <pageMargins bottom="0.75" footer="0.0" header="0.0" left="0.7" right="0.7" top="0.75"/>
  <pageSetup orientation="portrait"/>
  <headerFooter>
    <oddHeader>&amp;R000000 Unclassified - Non-Classifié#_x000D_</oddHead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headerFooter>
    <oddHeader>&amp;R000000 Unclassified - Non-Classifié#_x000D_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21.63"/>
    <col customWidth="1" min="3" max="3" width="16.0"/>
    <col customWidth="1" min="4" max="4" width="19.75"/>
    <col customWidth="1" min="5" max="5" width="13.38"/>
    <col customWidth="1" min="6" max="6" width="52.63"/>
    <col customWidth="1" min="7" max="7" width="18.0"/>
    <col customWidth="1" min="8" max="8" width="19.25"/>
    <col customWidth="1" min="9" max="9" width="18.75"/>
    <col customWidth="1" min="10" max="12" width="5.63"/>
    <col customWidth="1" min="13" max="13" width="8.63"/>
    <col customWidth="1" min="14" max="14" width="6.88"/>
    <col customWidth="1" min="15" max="17" width="10.63"/>
    <col customWidth="1" min="18" max="22" width="8.63"/>
    <col customWidth="1" min="23" max="23" width="15.38"/>
    <col customWidth="1" min="24" max="24" width="12.13"/>
    <col customWidth="1" min="25" max="25" width="15.13"/>
    <col customWidth="1" min="26" max="30" width="8.63"/>
    <col customWidth="1" min="31" max="31" width="16.25"/>
    <col customWidth="1" min="32" max="32" width="10.88"/>
    <col customWidth="1" min="33" max="33" width="12.0"/>
  </cols>
  <sheetData>
    <row r="1" ht="14.25" customHeight="1">
      <c r="A1" s="1" t="s">
        <v>30</v>
      </c>
      <c r="J1" s="3" t="s">
        <v>32</v>
      </c>
      <c r="R1" s="3" t="s">
        <v>33</v>
      </c>
      <c r="Z1" s="3" t="s">
        <v>34</v>
      </c>
    </row>
    <row r="2" ht="14.25" customHeight="1">
      <c r="A2" s="4" t="s">
        <v>0</v>
      </c>
      <c r="B2" s="5" t="s">
        <v>36</v>
      </c>
      <c r="C2" s="5" t="s">
        <v>3</v>
      </c>
      <c r="D2" s="5" t="s">
        <v>4</v>
      </c>
      <c r="E2" s="6" t="s">
        <v>5</v>
      </c>
      <c r="F2" s="5" t="s">
        <v>6</v>
      </c>
      <c r="G2" s="7" t="s">
        <v>37</v>
      </c>
      <c r="H2" s="7" t="s">
        <v>38</v>
      </c>
      <c r="I2" s="8" t="s">
        <v>7</v>
      </c>
      <c r="J2" s="9" t="s">
        <v>8</v>
      </c>
      <c r="K2" s="10" t="s">
        <v>9</v>
      </c>
      <c r="L2" s="10" t="s">
        <v>10</v>
      </c>
      <c r="M2" s="10" t="s">
        <v>11</v>
      </c>
      <c r="N2" s="10" t="s">
        <v>12</v>
      </c>
      <c r="O2" s="11" t="s">
        <v>13</v>
      </c>
      <c r="P2" s="11" t="s">
        <v>14</v>
      </c>
      <c r="Q2" s="12" t="s">
        <v>15</v>
      </c>
      <c r="R2" s="13" t="s">
        <v>8</v>
      </c>
      <c r="S2" s="14" t="s">
        <v>9</v>
      </c>
      <c r="T2" s="14" t="s">
        <v>10</v>
      </c>
      <c r="U2" s="14" t="s">
        <v>11</v>
      </c>
      <c r="V2" s="14" t="s">
        <v>12</v>
      </c>
      <c r="W2" s="15" t="s">
        <v>13</v>
      </c>
      <c r="X2" s="15" t="s">
        <v>14</v>
      </c>
      <c r="Y2" s="16" t="s">
        <v>15</v>
      </c>
      <c r="Z2" s="13" t="s">
        <v>8</v>
      </c>
      <c r="AA2" s="14" t="s">
        <v>9</v>
      </c>
      <c r="AB2" s="14" t="s">
        <v>10</v>
      </c>
      <c r="AC2" s="14" t="s">
        <v>11</v>
      </c>
      <c r="AD2" s="14" t="s">
        <v>12</v>
      </c>
      <c r="AE2" s="15" t="s">
        <v>13</v>
      </c>
      <c r="AF2" s="15" t="s">
        <v>14</v>
      </c>
      <c r="AG2" s="16" t="s">
        <v>15</v>
      </c>
    </row>
    <row r="3" ht="14.25" customHeight="1">
      <c r="A3" s="17">
        <v>44647.0</v>
      </c>
      <c r="B3" s="18" t="s">
        <v>16</v>
      </c>
      <c r="C3" s="1" t="s">
        <v>17</v>
      </c>
      <c r="D3" s="1" t="s">
        <v>18</v>
      </c>
      <c r="E3" s="1">
        <v>1.6</v>
      </c>
      <c r="G3" s="1" t="s">
        <v>41</v>
      </c>
      <c r="H3" s="1" t="s">
        <v>42</v>
      </c>
      <c r="I3" s="19">
        <v>25.1</v>
      </c>
      <c r="J3" s="20">
        <v>27.428</v>
      </c>
      <c r="K3" s="21">
        <v>27.32</v>
      </c>
      <c r="L3" s="21">
        <v>27.182</v>
      </c>
      <c r="M3" s="21">
        <f t="shared" ref="M3:M10" si="1">AVERAGE(J3:L3)</f>
        <v>27.31</v>
      </c>
      <c r="N3" s="21">
        <v>0.123</v>
      </c>
      <c r="O3" s="21">
        <v>3406.59</v>
      </c>
      <c r="P3" s="21">
        <v>3655.315</v>
      </c>
      <c r="Q3" s="22">
        <v>3997.867</v>
      </c>
      <c r="R3" s="23">
        <v>24.315</v>
      </c>
      <c r="S3" s="18">
        <v>24.264</v>
      </c>
      <c r="T3" s="18">
        <v>24.241</v>
      </c>
      <c r="U3" s="24">
        <v>24.273</v>
      </c>
      <c r="V3" s="24">
        <v>0.038</v>
      </c>
      <c r="W3" s="24">
        <v>26489.164</v>
      </c>
      <c r="X3" s="24">
        <v>27388.748</v>
      </c>
      <c r="Y3" s="25">
        <v>27796.918</v>
      </c>
      <c r="Z3" s="26">
        <v>29.712772369384766</v>
      </c>
      <c r="AA3" s="27">
        <v>29.741931915283203</v>
      </c>
      <c r="AB3" s="27">
        <v>29.59686279296875</v>
      </c>
      <c r="AC3" s="27">
        <v>29.683855</v>
      </c>
      <c r="AD3" s="27">
        <v>0.07673587</v>
      </c>
      <c r="AE3" s="27">
        <v>844.43536</v>
      </c>
      <c r="AF3" s="27">
        <v>828.36914</v>
      </c>
      <c r="AG3" s="28">
        <v>911.43976</v>
      </c>
    </row>
    <row r="4" ht="14.25" customHeight="1">
      <c r="A4" s="17">
        <v>44648.0</v>
      </c>
      <c r="B4" s="18" t="s">
        <v>20</v>
      </c>
      <c r="C4" s="1" t="s">
        <v>17</v>
      </c>
      <c r="D4" s="1" t="s">
        <v>18</v>
      </c>
      <c r="E4" s="1">
        <v>1.6</v>
      </c>
      <c r="G4" s="1" t="s">
        <v>41</v>
      </c>
      <c r="H4" s="1" t="s">
        <v>42</v>
      </c>
      <c r="I4" s="30">
        <v>16.5</v>
      </c>
      <c r="J4" s="31">
        <v>29.856</v>
      </c>
      <c r="K4" s="24">
        <v>29.948</v>
      </c>
      <c r="L4" s="24">
        <v>30.012</v>
      </c>
      <c r="M4" s="24">
        <f t="shared" si="1"/>
        <v>29.93866667</v>
      </c>
      <c r="N4" s="24">
        <v>0.079</v>
      </c>
      <c r="O4" s="24">
        <v>701.109</v>
      </c>
      <c r="P4" s="24">
        <v>660.236</v>
      </c>
      <c r="Q4" s="25">
        <v>633.251</v>
      </c>
      <c r="R4" s="23">
        <v>21.819</v>
      </c>
      <c r="S4" s="18">
        <v>21.843</v>
      </c>
      <c r="T4" s="18">
        <v>21.759</v>
      </c>
      <c r="U4" s="24">
        <v>21.807</v>
      </c>
      <c r="V4" s="24">
        <v>0.043</v>
      </c>
      <c r="W4" s="24">
        <v>135540.5</v>
      </c>
      <c r="X4" s="24">
        <v>133438.16</v>
      </c>
      <c r="Y4" s="25">
        <v>140961.4</v>
      </c>
      <c r="Z4" s="26">
        <v>29.803848266601562</v>
      </c>
      <c r="AA4" s="27">
        <v>29.979055404663086</v>
      </c>
      <c r="AB4" s="27">
        <v>29.72300910949707</v>
      </c>
      <c r="AC4" s="27">
        <v>29.835304</v>
      </c>
      <c r="AD4" s="27">
        <v>0.1308894</v>
      </c>
      <c r="AE4" s="27">
        <v>795.2611</v>
      </c>
      <c r="AF4" s="27">
        <v>708.5708</v>
      </c>
      <c r="AG4" s="28">
        <v>838.76</v>
      </c>
    </row>
    <row r="5" ht="14.25" customHeight="1">
      <c r="A5" s="17">
        <v>44649.0</v>
      </c>
      <c r="B5" s="18" t="s">
        <v>21</v>
      </c>
      <c r="C5" s="1" t="s">
        <v>17</v>
      </c>
      <c r="D5" s="1" t="s">
        <v>18</v>
      </c>
      <c r="E5" s="1">
        <v>1.6</v>
      </c>
      <c r="G5" s="1" t="s">
        <v>41</v>
      </c>
      <c r="H5" s="1" t="s">
        <v>42</v>
      </c>
      <c r="I5" s="30">
        <v>20.1</v>
      </c>
      <c r="J5" s="31">
        <v>29.936</v>
      </c>
      <c r="K5" s="24">
        <v>29.977</v>
      </c>
      <c r="L5" s="24">
        <v>29.979</v>
      </c>
      <c r="M5" s="24">
        <f t="shared" si="1"/>
        <v>29.964</v>
      </c>
      <c r="N5" s="24">
        <v>0.024</v>
      </c>
      <c r="O5" s="24">
        <v>665.46</v>
      </c>
      <c r="P5" s="24">
        <v>648.047</v>
      </c>
      <c r="Q5" s="25">
        <v>647.229</v>
      </c>
      <c r="R5" s="23">
        <v>21.748</v>
      </c>
      <c r="S5" s="18">
        <v>21.789</v>
      </c>
      <c r="T5" s="18">
        <v>21.768</v>
      </c>
      <c r="U5" s="24">
        <v>21.768</v>
      </c>
      <c r="V5" s="24">
        <v>0.02</v>
      </c>
      <c r="W5" s="24">
        <v>141918.19</v>
      </c>
      <c r="X5" s="24">
        <v>138210.94</v>
      </c>
      <c r="Y5" s="25">
        <v>140146.84</v>
      </c>
      <c r="Z5" s="26">
        <v>30.028522491455078</v>
      </c>
      <c r="AA5" s="27">
        <v>29.947378158569336</v>
      </c>
      <c r="AB5" s="27">
        <v>29.875675201416016</v>
      </c>
      <c r="AC5" s="27">
        <v>29.950525</v>
      </c>
      <c r="AD5" s="27">
        <v>0.07647223</v>
      </c>
      <c r="AE5" s="27">
        <v>685.8526</v>
      </c>
      <c r="AF5" s="27">
        <v>723.5126</v>
      </c>
      <c r="AG5" s="28">
        <v>758.508</v>
      </c>
    </row>
    <row r="6" ht="14.25" customHeight="1">
      <c r="A6" s="32">
        <v>44650.0</v>
      </c>
      <c r="B6" s="33" t="s">
        <v>22</v>
      </c>
      <c r="C6" s="34" t="s">
        <v>17</v>
      </c>
      <c r="D6" s="34" t="s">
        <v>18</v>
      </c>
      <c r="E6" s="34">
        <v>1.6</v>
      </c>
      <c r="F6" s="34" t="s">
        <v>23</v>
      </c>
      <c r="G6" s="34" t="s">
        <v>41</v>
      </c>
      <c r="H6" s="34" t="s">
        <v>42</v>
      </c>
      <c r="I6" s="35">
        <v>0.324</v>
      </c>
      <c r="J6" s="36">
        <v>31.376</v>
      </c>
      <c r="K6" s="37">
        <v>31.217</v>
      </c>
      <c r="L6" s="37">
        <v>31.241</v>
      </c>
      <c r="M6" s="37">
        <f t="shared" si="1"/>
        <v>31.278</v>
      </c>
      <c r="N6" s="37">
        <v>0.086</v>
      </c>
      <c r="O6" s="37">
        <v>260.56</v>
      </c>
      <c r="P6" s="37">
        <v>289.0</v>
      </c>
      <c r="Q6" s="38">
        <v>284.491</v>
      </c>
      <c r="R6" s="39">
        <v>27.359</v>
      </c>
      <c r="S6" s="40">
        <v>27.263</v>
      </c>
      <c r="T6" s="40">
        <v>27.508</v>
      </c>
      <c r="U6" s="41">
        <v>27.377</v>
      </c>
      <c r="V6" s="41">
        <v>0.124</v>
      </c>
      <c r="W6" s="41">
        <v>3617.973</v>
      </c>
      <c r="X6" s="41">
        <v>3852.535</v>
      </c>
      <c r="Y6" s="42">
        <v>3281.282</v>
      </c>
      <c r="Z6" s="43">
        <v>30.87439727783203</v>
      </c>
      <c r="AA6" s="44">
        <v>30.609296798706055</v>
      </c>
      <c r="AB6" s="44">
        <v>30.777742385864258</v>
      </c>
      <c r="AC6" s="44">
        <v>30.753813</v>
      </c>
      <c r="AD6" s="44">
        <v>0.13416056</v>
      </c>
      <c r="AE6" s="44">
        <v>392.8505</v>
      </c>
      <c r="AF6" s="44">
        <v>467.81287</v>
      </c>
      <c r="AG6" s="45">
        <v>418.67798</v>
      </c>
    </row>
    <row r="7" ht="14.25" customHeight="1">
      <c r="A7" s="17">
        <v>44673.0</v>
      </c>
      <c r="B7" s="18" t="s">
        <v>16</v>
      </c>
      <c r="C7" s="1" t="s">
        <v>17</v>
      </c>
      <c r="D7" s="1" t="s">
        <v>18</v>
      </c>
      <c r="E7" s="1">
        <v>0.35</v>
      </c>
      <c r="F7" s="1" t="s">
        <v>45</v>
      </c>
      <c r="G7" s="1" t="s">
        <v>41</v>
      </c>
      <c r="H7" s="1" t="s">
        <v>42</v>
      </c>
      <c r="I7" s="30">
        <v>51.0</v>
      </c>
      <c r="J7" s="31">
        <v>19.722</v>
      </c>
      <c r="K7" s="24">
        <v>19.73</v>
      </c>
      <c r="L7" s="24">
        <v>19.695</v>
      </c>
      <c r="M7" s="24">
        <f t="shared" si="1"/>
        <v>19.71566667</v>
      </c>
      <c r="N7" s="24">
        <v>0.018</v>
      </c>
      <c r="O7" s="24">
        <v>514298.94</v>
      </c>
      <c r="P7" s="24">
        <v>511502.25</v>
      </c>
      <c r="Q7" s="25">
        <v>523262.3</v>
      </c>
      <c r="R7" s="23">
        <v>18.573</v>
      </c>
      <c r="S7" s="18">
        <v>18.349</v>
      </c>
      <c r="T7" s="18">
        <v>18.295</v>
      </c>
      <c r="U7" s="24">
        <v>18.406</v>
      </c>
      <c r="V7" s="24">
        <v>0.148</v>
      </c>
      <c r="W7" s="24">
        <v>1131846.1</v>
      </c>
      <c r="X7" s="24">
        <v>1311148.0</v>
      </c>
      <c r="Y7" s="25">
        <v>1357988.9</v>
      </c>
      <c r="Z7" s="26">
        <v>19.74366569519043</v>
      </c>
      <c r="AA7" s="27">
        <v>19.774206161499023</v>
      </c>
      <c r="AB7" s="27">
        <v>19.82147789001465</v>
      </c>
      <c r="AC7" s="27">
        <v>19.779783</v>
      </c>
      <c r="AD7" s="27">
        <v>0.03920475</v>
      </c>
      <c r="AE7" s="27">
        <v>600776.1</v>
      </c>
      <c r="AF7" s="27">
        <v>588809.9</v>
      </c>
      <c r="AG7" s="28">
        <v>570756.25</v>
      </c>
    </row>
    <row r="8" ht="14.25" customHeight="1">
      <c r="A8" s="17">
        <v>44674.0</v>
      </c>
      <c r="B8" s="18" t="s">
        <v>20</v>
      </c>
      <c r="C8" s="1" t="s">
        <v>17</v>
      </c>
      <c r="D8" s="1" t="s">
        <v>18</v>
      </c>
      <c r="E8" s="1">
        <v>0.5</v>
      </c>
      <c r="F8" s="1" t="s">
        <v>46</v>
      </c>
      <c r="G8" s="1" t="s">
        <v>41</v>
      </c>
      <c r="H8" s="1" t="s">
        <v>42</v>
      </c>
      <c r="I8" s="30">
        <v>24.4</v>
      </c>
      <c r="J8" s="31">
        <v>21.419</v>
      </c>
      <c r="K8" s="24">
        <v>21.378</v>
      </c>
      <c r="L8" s="24">
        <v>21.373</v>
      </c>
      <c r="M8" s="24">
        <f t="shared" si="1"/>
        <v>21.39</v>
      </c>
      <c r="N8" s="24">
        <v>0.025</v>
      </c>
      <c r="O8" s="24">
        <v>170353.83</v>
      </c>
      <c r="P8" s="24">
        <v>174938.5</v>
      </c>
      <c r="Q8" s="25">
        <v>175482.66</v>
      </c>
      <c r="R8" s="23">
        <v>20.067</v>
      </c>
      <c r="S8" s="18">
        <v>19.784</v>
      </c>
      <c r="T8" s="18">
        <v>19.734</v>
      </c>
      <c r="U8" s="24">
        <v>19.862</v>
      </c>
      <c r="V8" s="24">
        <v>0.18</v>
      </c>
      <c r="W8" s="24">
        <v>426029.53</v>
      </c>
      <c r="X8" s="24">
        <v>512907.9</v>
      </c>
      <c r="Y8" s="25">
        <v>529994.5</v>
      </c>
      <c r="Z8" s="26">
        <v>21.453262329101562</v>
      </c>
      <c r="AA8" s="27">
        <v>21.791406631469727</v>
      </c>
      <c r="AB8" s="27">
        <v>21.827512741088867</v>
      </c>
      <c r="AC8" s="27">
        <v>21.690727</v>
      </c>
      <c r="AD8" s="27">
        <v>0.2064415</v>
      </c>
      <c r="AE8" s="27">
        <v>194804.8</v>
      </c>
      <c r="AF8" s="27">
        <v>155903.94</v>
      </c>
      <c r="AG8" s="28">
        <v>152239.44</v>
      </c>
    </row>
    <row r="9" ht="14.25" customHeight="1">
      <c r="A9" s="17">
        <v>44675.0</v>
      </c>
      <c r="B9" s="18" t="s">
        <v>21</v>
      </c>
      <c r="C9" s="1" t="s">
        <v>17</v>
      </c>
      <c r="D9" s="1" t="s">
        <v>18</v>
      </c>
      <c r="E9" s="1">
        <v>0.5</v>
      </c>
      <c r="F9" s="1" t="s">
        <v>47</v>
      </c>
      <c r="G9" s="1" t="s">
        <v>41</v>
      </c>
      <c r="H9" s="1" t="s">
        <v>42</v>
      </c>
      <c r="I9" s="30">
        <v>10.8</v>
      </c>
      <c r="J9" s="31">
        <v>23.675</v>
      </c>
      <c r="K9" s="24">
        <v>23.569</v>
      </c>
      <c r="L9" s="24">
        <v>23.567</v>
      </c>
      <c r="M9" s="24">
        <f t="shared" si="1"/>
        <v>23.60366667</v>
      </c>
      <c r="N9" s="24">
        <v>0.062</v>
      </c>
      <c r="O9" s="24">
        <v>39217.78</v>
      </c>
      <c r="P9" s="24">
        <v>42028.844</v>
      </c>
      <c r="Q9" s="25">
        <v>42075.113</v>
      </c>
      <c r="R9" s="23">
        <v>22.258</v>
      </c>
      <c r="S9" s="18">
        <v>22.151</v>
      </c>
      <c r="T9" s="18">
        <v>22.212</v>
      </c>
      <c r="U9" s="24">
        <v>22.207</v>
      </c>
      <c r="V9" s="24">
        <v>0.054</v>
      </c>
      <c r="W9" s="24">
        <v>101671.74</v>
      </c>
      <c r="X9" s="24">
        <v>109044.47</v>
      </c>
      <c r="Y9" s="25">
        <v>104827.445</v>
      </c>
      <c r="Z9" s="26">
        <v>24.01375961303711</v>
      </c>
      <c r="AA9" s="27">
        <v>23.932750701904297</v>
      </c>
      <c r="AB9" s="27">
        <v>23.95643424987793</v>
      </c>
      <c r="AC9" s="27">
        <v>23.967646</v>
      </c>
      <c r="AD9" s="27">
        <v>0.041652434</v>
      </c>
      <c r="AE9" s="27">
        <v>36061.625</v>
      </c>
      <c r="AF9" s="27">
        <v>38038.363</v>
      </c>
      <c r="AG9" s="28">
        <v>37449.496</v>
      </c>
    </row>
    <row r="10" ht="14.25" customHeight="1">
      <c r="A10" s="46">
        <v>44676.0</v>
      </c>
      <c r="B10" s="47" t="s">
        <v>22</v>
      </c>
      <c r="C10" s="48" t="s">
        <v>17</v>
      </c>
      <c r="D10" s="48" t="s">
        <v>18</v>
      </c>
      <c r="E10" s="48">
        <v>0.5</v>
      </c>
      <c r="F10" s="48" t="s">
        <v>48</v>
      </c>
      <c r="G10" s="48" t="s">
        <v>41</v>
      </c>
      <c r="H10" s="48" t="s">
        <v>42</v>
      </c>
      <c r="I10" s="49">
        <v>11.2</v>
      </c>
      <c r="J10" s="50">
        <v>30.389</v>
      </c>
      <c r="K10" s="51">
        <v>30.398</v>
      </c>
      <c r="L10" s="51">
        <v>30.281</v>
      </c>
      <c r="M10" s="51">
        <f t="shared" si="1"/>
        <v>30.356</v>
      </c>
      <c r="N10" s="51">
        <v>0.065</v>
      </c>
      <c r="O10" s="51">
        <v>495.42</v>
      </c>
      <c r="P10" s="51">
        <v>492.762</v>
      </c>
      <c r="Q10" s="52">
        <v>531.56</v>
      </c>
      <c r="R10" s="53">
        <v>27.401</v>
      </c>
      <c r="S10" s="54">
        <v>27.344</v>
      </c>
      <c r="T10" s="54">
        <v>27.32</v>
      </c>
      <c r="U10" s="55">
        <v>27.355</v>
      </c>
      <c r="V10" s="55">
        <v>0.042</v>
      </c>
      <c r="W10" s="55">
        <v>3519.812</v>
      </c>
      <c r="X10" s="55">
        <v>3652.654</v>
      </c>
      <c r="Y10" s="56">
        <v>3711.063</v>
      </c>
      <c r="Z10" s="57">
        <v>31.414546966552734</v>
      </c>
      <c r="AA10" s="58">
        <v>31.5772647857666</v>
      </c>
      <c r="AB10" s="58">
        <v>31.66402816772461</v>
      </c>
      <c r="AC10" s="58">
        <v>31.551947</v>
      </c>
      <c r="AD10" s="58">
        <v>0.12665297</v>
      </c>
      <c r="AE10" s="58">
        <v>275.22717</v>
      </c>
      <c r="AF10" s="58">
        <v>247.25096</v>
      </c>
      <c r="AG10" s="59">
        <v>233.51518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C17" s="60" t="s">
        <v>49</v>
      </c>
      <c r="D17" s="60" t="s">
        <v>50</v>
      </c>
      <c r="E17" s="60" t="s">
        <v>34</v>
      </c>
    </row>
    <row r="18" ht="14.25" customHeight="1">
      <c r="C18" s="61" t="s">
        <v>51</v>
      </c>
      <c r="D18" s="61" t="s">
        <v>51</v>
      </c>
      <c r="E18" s="61" t="s">
        <v>51</v>
      </c>
    </row>
    <row r="19" ht="14.25" customHeight="1">
      <c r="A19" s="62" t="s">
        <v>52</v>
      </c>
      <c r="B19" s="63">
        <v>44647.0</v>
      </c>
      <c r="C19" s="64">
        <v>27.31</v>
      </c>
      <c r="D19" s="64">
        <v>24.273</v>
      </c>
      <c r="E19" s="65">
        <v>29.683855</v>
      </c>
    </row>
    <row r="20" ht="14.25" customHeight="1">
      <c r="A20" s="66"/>
      <c r="B20" s="67">
        <v>44648.0</v>
      </c>
      <c r="C20" s="68">
        <v>29.939</v>
      </c>
      <c r="D20" s="68">
        <v>21.807</v>
      </c>
      <c r="E20" s="69">
        <v>29.835304</v>
      </c>
    </row>
    <row r="21" ht="14.25" customHeight="1">
      <c r="A21" s="70"/>
      <c r="B21" s="71">
        <v>44649.0</v>
      </c>
      <c r="C21" s="72">
        <v>29.964</v>
      </c>
      <c r="D21" s="72">
        <v>21.768</v>
      </c>
      <c r="E21" s="73">
        <v>29.950525</v>
      </c>
    </row>
    <row r="22" ht="14.25" customHeight="1">
      <c r="A22" s="67" t="s">
        <v>53</v>
      </c>
      <c r="B22" s="67" t="s">
        <v>54</v>
      </c>
      <c r="C22" s="68">
        <v>19.716</v>
      </c>
      <c r="D22" s="68">
        <v>18.406</v>
      </c>
      <c r="E22" s="69">
        <v>19.779783</v>
      </c>
    </row>
    <row r="23" ht="14.25" customHeight="1">
      <c r="A23" s="74"/>
      <c r="B23" s="67" t="s">
        <v>55</v>
      </c>
      <c r="C23" s="68">
        <v>21.39</v>
      </c>
      <c r="D23" s="68">
        <v>19.862</v>
      </c>
      <c r="E23" s="69">
        <v>21.690727</v>
      </c>
    </row>
    <row r="24" ht="14.25" customHeight="1">
      <c r="A24" s="75"/>
      <c r="B24" s="71" t="s">
        <v>56</v>
      </c>
      <c r="C24" s="72">
        <v>23.603</v>
      </c>
      <c r="D24" s="72">
        <v>22.207</v>
      </c>
      <c r="E24" s="73">
        <v>23.967646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J1:Q1"/>
    <mergeCell ref="R1:Y1"/>
    <mergeCell ref="Z1:AG1"/>
    <mergeCell ref="A19:A21"/>
    <mergeCell ref="A22:A24"/>
  </mergeCells>
  <printOptions/>
  <pageMargins bottom="0.75" footer="0.0" header="0.0" left="0.7" right="0.7" top="0.75"/>
  <pageSetup orientation="portrait"/>
  <headerFooter>
    <oddHeader>&amp;R000000 Unclassified - Non-Classifié#_x000D_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3.38"/>
    <col customWidth="1" min="3" max="3" width="8.63"/>
    <col customWidth="1" min="4" max="4" width="8.75"/>
    <col customWidth="1" min="5" max="5" width="24.75"/>
    <col customWidth="1" min="6" max="6" width="37.75"/>
    <col customWidth="1" min="7" max="9" width="11.25"/>
    <col customWidth="1" min="10" max="10" width="9.25"/>
    <col customWidth="1" min="11" max="11" width="13.38"/>
    <col customWidth="1" min="12" max="26" width="8.63"/>
  </cols>
  <sheetData>
    <row r="1" ht="14.25" customHeight="1">
      <c r="A1" s="111"/>
      <c r="B1" s="142" t="s">
        <v>96</v>
      </c>
      <c r="C1" s="143" t="s">
        <v>97</v>
      </c>
      <c r="D1" s="144" t="s">
        <v>8</v>
      </c>
      <c r="E1" s="144" t="s">
        <v>9</v>
      </c>
      <c r="F1" s="144" t="s">
        <v>10</v>
      </c>
      <c r="G1" s="144" t="s">
        <v>72</v>
      </c>
      <c r="H1" s="144" t="s">
        <v>73</v>
      </c>
      <c r="I1" s="144" t="s">
        <v>74</v>
      </c>
      <c r="J1" s="144" t="s">
        <v>11</v>
      </c>
    </row>
    <row r="2" ht="14.25" customHeight="1">
      <c r="A2" s="63" t="s">
        <v>32</v>
      </c>
      <c r="B2" s="145">
        <v>44647.0</v>
      </c>
      <c r="C2" s="89">
        <v>0.0</v>
      </c>
      <c r="D2" s="20">
        <v>25.524029</v>
      </c>
      <c r="E2" s="21">
        <v>25.591487</v>
      </c>
      <c r="F2" s="21">
        <v>25.679148</v>
      </c>
      <c r="G2" s="90"/>
      <c r="H2" s="90"/>
      <c r="I2" s="90"/>
      <c r="J2" s="22">
        <v>25.6</v>
      </c>
      <c r="M2" s="148">
        <v>44647.0</v>
      </c>
      <c r="N2" s="150">
        <v>44655.0</v>
      </c>
      <c r="O2" s="150">
        <v>44673.0</v>
      </c>
      <c r="P2" s="150">
        <v>44675.0</v>
      </c>
      <c r="Q2" s="90" t="s">
        <v>98</v>
      </c>
      <c r="R2" s="1" t="s">
        <v>99</v>
      </c>
      <c r="S2" s="1" t="s">
        <v>100</v>
      </c>
      <c r="T2" s="1" t="s">
        <v>101</v>
      </c>
      <c r="U2" s="1" t="s">
        <v>102</v>
      </c>
    </row>
    <row r="3" ht="14.25" customHeight="1">
      <c r="A3" s="74"/>
      <c r="C3" s="18">
        <v>3.0</v>
      </c>
      <c r="D3" s="24">
        <v>25.326217</v>
      </c>
      <c r="E3" s="24">
        <v>25.569581</v>
      </c>
      <c r="J3" s="25">
        <v>25.45</v>
      </c>
      <c r="L3" s="89" t="s">
        <v>104</v>
      </c>
      <c r="M3" s="22">
        <v>25.6</v>
      </c>
      <c r="N3" s="25">
        <v>31.48</v>
      </c>
      <c r="O3" s="25">
        <v>17.879417</v>
      </c>
      <c r="P3" s="25">
        <v>22.45</v>
      </c>
      <c r="Q3" s="22">
        <v>37.339698791503906</v>
      </c>
      <c r="R3" s="25">
        <v>37.027652740478516</v>
      </c>
      <c r="S3" s="25">
        <v>36.45179748535156</v>
      </c>
      <c r="T3" s="25">
        <v>35.79287338256836</v>
      </c>
      <c r="U3" s="25">
        <v>36.795833587646484</v>
      </c>
    </row>
    <row r="4" ht="14.25" customHeight="1">
      <c r="A4" s="74"/>
      <c r="B4" s="157">
        <v>44655.0</v>
      </c>
      <c r="C4" s="18">
        <v>0.0</v>
      </c>
      <c r="D4" s="24">
        <v>31.601211</v>
      </c>
      <c r="E4" s="24">
        <v>31.317151</v>
      </c>
      <c r="F4" s="24">
        <v>31.525687</v>
      </c>
      <c r="J4" s="25">
        <v>31.48</v>
      </c>
      <c r="L4" s="18" t="s">
        <v>106</v>
      </c>
      <c r="M4" s="25">
        <v>25.45</v>
      </c>
      <c r="N4" s="25">
        <v>31.42</v>
      </c>
      <c r="O4" s="25">
        <v>17.4153575</v>
      </c>
      <c r="P4" s="52">
        <v>21.6</v>
      </c>
      <c r="Q4" s="25">
        <v>37.731658935546875</v>
      </c>
      <c r="R4" s="25">
        <v>37.58777618408203</v>
      </c>
      <c r="S4" s="25">
        <v>35.978355407714844</v>
      </c>
      <c r="T4" s="25">
        <v>36.04158020019531</v>
      </c>
      <c r="U4" s="52">
        <v>36.60594177246094</v>
      </c>
    </row>
    <row r="5" ht="14.25" customHeight="1">
      <c r="A5" s="74"/>
      <c r="C5" s="18">
        <v>3.0</v>
      </c>
      <c r="D5" s="24">
        <v>31.21684</v>
      </c>
      <c r="E5" s="24">
        <v>31.627372</v>
      </c>
      <c r="F5" s="24"/>
      <c r="J5" s="25">
        <v>31.42</v>
      </c>
    </row>
    <row r="6" ht="14.25" customHeight="1">
      <c r="A6" s="74"/>
      <c r="B6" s="157">
        <v>44673.0</v>
      </c>
      <c r="C6" s="18">
        <v>0.0</v>
      </c>
      <c r="D6" s="24">
        <v>17.440749</v>
      </c>
      <c r="E6" s="24">
        <v>17.67332</v>
      </c>
      <c r="F6" s="24">
        <v>18.524182</v>
      </c>
      <c r="J6" s="25">
        <v>17.879417</v>
      </c>
    </row>
    <row r="7" ht="14.25" customHeight="1">
      <c r="A7" s="74"/>
      <c r="C7" s="18">
        <v>3.0</v>
      </c>
      <c r="D7" s="24">
        <v>17.36515</v>
      </c>
      <c r="E7" s="24">
        <v>17.465565</v>
      </c>
      <c r="F7" s="24"/>
      <c r="J7" s="25">
        <v>17.4153575</v>
      </c>
    </row>
    <row r="8" ht="14.25" customHeight="1">
      <c r="A8" s="74"/>
      <c r="B8" s="157">
        <v>44675.0</v>
      </c>
      <c r="C8" s="18">
        <v>0.0</v>
      </c>
      <c r="D8" s="24">
        <v>22.438643</v>
      </c>
      <c r="E8" s="24">
        <v>22.343857</v>
      </c>
      <c r="F8" s="24">
        <v>22.554144</v>
      </c>
      <c r="J8" s="25">
        <v>22.45</v>
      </c>
    </row>
    <row r="9" ht="14.25" customHeight="1">
      <c r="A9" s="75"/>
      <c r="B9" s="158"/>
      <c r="C9" s="47">
        <v>3.0</v>
      </c>
      <c r="D9" s="51">
        <v>21.407649</v>
      </c>
      <c r="E9" s="51">
        <v>21.783728</v>
      </c>
      <c r="F9" s="48"/>
      <c r="G9" s="48"/>
      <c r="H9" s="48"/>
      <c r="I9" s="48"/>
      <c r="J9" s="52">
        <v>21.6</v>
      </c>
    </row>
    <row r="10" ht="14.25" customHeight="1">
      <c r="A10" s="63" t="s">
        <v>107</v>
      </c>
      <c r="B10" s="89" t="s">
        <v>98</v>
      </c>
      <c r="C10" s="89">
        <v>0.0</v>
      </c>
      <c r="D10" s="21" t="s">
        <v>27</v>
      </c>
      <c r="E10" s="21">
        <v>36.801037</v>
      </c>
      <c r="F10" s="21">
        <v>37.942192</v>
      </c>
      <c r="G10" s="21">
        <v>37.55826</v>
      </c>
      <c r="H10" s="21">
        <v>36.458076</v>
      </c>
      <c r="I10" s="21">
        <v>37.938927</v>
      </c>
      <c r="J10" s="22">
        <v>37.339698791503906</v>
      </c>
    </row>
    <row r="11" ht="14.25" customHeight="1">
      <c r="A11" s="74"/>
      <c r="C11" s="18">
        <v>3.0</v>
      </c>
      <c r="D11" s="159">
        <v>38.064625</v>
      </c>
      <c r="E11" s="159">
        <v>38.875526</v>
      </c>
      <c r="F11" s="159">
        <v>37.041676</v>
      </c>
      <c r="G11" s="159">
        <v>36.944813</v>
      </c>
      <c r="H11" s="24"/>
      <c r="I11" s="24"/>
      <c r="J11" s="25">
        <v>37.731658935546875</v>
      </c>
      <c r="K11" s="24"/>
    </row>
    <row r="12" ht="14.25" customHeight="1">
      <c r="A12" s="74"/>
      <c r="B12" s="18" t="s">
        <v>99</v>
      </c>
      <c r="C12" s="18">
        <v>0.0</v>
      </c>
      <c r="D12" s="24" t="s">
        <v>27</v>
      </c>
      <c r="E12" s="24">
        <v>36.631622</v>
      </c>
      <c r="F12" s="24" t="s">
        <v>27</v>
      </c>
      <c r="G12" s="24" t="s">
        <v>27</v>
      </c>
      <c r="H12" s="24">
        <v>37.40784</v>
      </c>
      <c r="I12" s="24">
        <v>37.0435</v>
      </c>
      <c r="J12" s="25">
        <v>37.027652740478516</v>
      </c>
    </row>
    <row r="13" ht="14.25" customHeight="1">
      <c r="A13" s="74"/>
      <c r="C13" s="18">
        <v>3.0</v>
      </c>
      <c r="D13" s="159">
        <v>39.251762</v>
      </c>
      <c r="E13" s="159">
        <v>36.649105</v>
      </c>
      <c r="F13" s="159">
        <v>37.99807</v>
      </c>
      <c r="G13" s="159">
        <v>36.452152</v>
      </c>
      <c r="H13" s="24"/>
      <c r="I13" s="24"/>
      <c r="J13" s="25">
        <v>37.58777618408203</v>
      </c>
    </row>
    <row r="14" ht="14.25" customHeight="1">
      <c r="A14" s="74"/>
      <c r="B14" s="18" t="s">
        <v>100</v>
      </c>
      <c r="C14" s="18">
        <v>0.0</v>
      </c>
      <c r="D14" s="24">
        <v>36.05094</v>
      </c>
      <c r="E14" s="24">
        <v>36.985714</v>
      </c>
      <c r="F14" s="24">
        <v>36.141304</v>
      </c>
      <c r="G14" s="24">
        <v>35.837112</v>
      </c>
      <c r="H14" s="24">
        <v>36.65337</v>
      </c>
      <c r="I14" s="24">
        <v>37.042355</v>
      </c>
      <c r="J14" s="25">
        <v>36.45179748535156</v>
      </c>
    </row>
    <row r="15" ht="14.25" customHeight="1">
      <c r="A15" s="74"/>
      <c r="C15" s="18">
        <v>3.0</v>
      </c>
      <c r="D15" s="159">
        <v>36.16994</v>
      </c>
      <c r="E15" s="159">
        <v>35.75305</v>
      </c>
      <c r="F15" s="159">
        <v>36.24907</v>
      </c>
      <c r="G15" s="159">
        <v>35.741356</v>
      </c>
      <c r="H15" s="24"/>
      <c r="I15" s="24"/>
      <c r="J15" s="25">
        <v>35.978355407714844</v>
      </c>
    </row>
    <row r="16" ht="14.25" customHeight="1">
      <c r="A16" s="74"/>
      <c r="B16" s="18" t="s">
        <v>101</v>
      </c>
      <c r="C16" s="18">
        <v>0.0</v>
      </c>
      <c r="D16" s="24">
        <v>35.320152</v>
      </c>
      <c r="E16" s="24">
        <v>34.867683</v>
      </c>
      <c r="F16" s="24">
        <v>37.91306</v>
      </c>
      <c r="G16" s="24">
        <v>35.92701</v>
      </c>
      <c r="H16" s="24">
        <v>35.53699</v>
      </c>
      <c r="I16" s="24">
        <v>35.192337</v>
      </c>
      <c r="J16" s="25">
        <v>35.79287338256836</v>
      </c>
    </row>
    <row r="17" ht="14.25" customHeight="1">
      <c r="A17" s="74"/>
      <c r="C17" s="18">
        <v>3.0</v>
      </c>
      <c r="D17" s="159">
        <v>36.38293</v>
      </c>
      <c r="E17" s="159">
        <v>35.380436</v>
      </c>
      <c r="F17" s="159">
        <v>36.009983</v>
      </c>
      <c r="G17" s="159">
        <v>36.392975</v>
      </c>
      <c r="H17" s="159"/>
      <c r="I17" s="24"/>
      <c r="J17" s="25">
        <v>36.04158020019531</v>
      </c>
    </row>
    <row r="18" ht="14.25" customHeight="1">
      <c r="A18" s="74"/>
      <c r="B18" s="18" t="s">
        <v>102</v>
      </c>
      <c r="C18" s="18">
        <v>0.0</v>
      </c>
      <c r="D18" s="24">
        <v>36.264557</v>
      </c>
      <c r="E18" s="24">
        <v>36.429832</v>
      </c>
      <c r="F18" s="24">
        <v>36.58556</v>
      </c>
      <c r="G18" s="24">
        <v>35.468437</v>
      </c>
      <c r="H18" s="24">
        <v>37.00209</v>
      </c>
      <c r="I18" s="24">
        <v>39.024506</v>
      </c>
      <c r="J18" s="25">
        <v>36.795833587646484</v>
      </c>
    </row>
    <row r="19" ht="14.25" customHeight="1">
      <c r="A19" s="75"/>
      <c r="B19" s="158"/>
      <c r="C19" s="47">
        <v>3.0</v>
      </c>
      <c r="D19" s="170">
        <v>36.392258</v>
      </c>
      <c r="E19" s="170">
        <v>36.154247</v>
      </c>
      <c r="F19" s="170">
        <v>38.06066</v>
      </c>
      <c r="G19" s="170">
        <v>35.816593</v>
      </c>
      <c r="H19" s="51"/>
      <c r="I19" s="51"/>
      <c r="J19" s="52">
        <v>36.60594177246094</v>
      </c>
    </row>
    <row r="20" ht="14.25" customHeight="1">
      <c r="L20" s="89"/>
    </row>
    <row r="21" ht="14.25" customHeight="1">
      <c r="L21" s="18"/>
    </row>
    <row r="22" ht="14.25" customHeight="1"/>
    <row r="23" ht="14.25" customHeight="1"/>
    <row r="24" ht="14.25" customHeight="1">
      <c r="I24" s="1">
        <f>16*3</f>
        <v>48</v>
      </c>
    </row>
    <row r="25" ht="14.25" customHeight="1"/>
    <row r="26" ht="14.25" customHeight="1"/>
    <row r="27" ht="14.25" customHeight="1"/>
    <row r="28" ht="14.25" customHeight="1"/>
    <row r="29" ht="14.25" customHeight="1">
      <c r="A29" s="48"/>
      <c r="B29" s="173" t="s">
        <v>122</v>
      </c>
      <c r="C29" s="85" t="s">
        <v>8</v>
      </c>
      <c r="D29" s="85" t="s">
        <v>9</v>
      </c>
      <c r="E29" s="85" t="s">
        <v>10</v>
      </c>
      <c r="F29" s="85" t="s">
        <v>123</v>
      </c>
      <c r="G29" s="85" t="s">
        <v>124</v>
      </c>
    </row>
    <row r="30" ht="14.25" customHeight="1">
      <c r="A30" s="18" t="s">
        <v>125</v>
      </c>
      <c r="B30" s="18">
        <v>0.0</v>
      </c>
      <c r="C30" s="175">
        <v>24.280464</v>
      </c>
      <c r="D30" s="175">
        <v>24.193907</v>
      </c>
      <c r="E30" s="175">
        <v>24.111681</v>
      </c>
      <c r="F30" s="175">
        <v>24.195350646972656</v>
      </c>
      <c r="G30" s="175">
        <v>0.08440085500478745</v>
      </c>
    </row>
    <row r="31" ht="14.25" customHeight="1">
      <c r="B31" s="18">
        <v>24.0</v>
      </c>
      <c r="C31" s="175">
        <v>24.057936</v>
      </c>
      <c r="D31" s="175">
        <v>24.164726</v>
      </c>
      <c r="E31" s="175">
        <v>24.11431</v>
      </c>
      <c r="F31" s="175">
        <v>24.11232566833496</v>
      </c>
      <c r="G31" s="175">
        <v>0.0534229502081871</v>
      </c>
    </row>
    <row r="32" ht="14.25" customHeight="1">
      <c r="A32" s="177"/>
      <c r="B32" s="33">
        <v>48.0</v>
      </c>
      <c r="C32" s="178">
        <v>24.17518</v>
      </c>
      <c r="D32" s="178">
        <v>24.164751</v>
      </c>
      <c r="E32" s="178">
        <v>24.22239</v>
      </c>
      <c r="F32" s="178">
        <v>24.18743896484375</v>
      </c>
      <c r="G32" s="178">
        <v>0.03071264736354351</v>
      </c>
    </row>
    <row r="33" ht="14.25" customHeight="1">
      <c r="A33" s="18" t="s">
        <v>129</v>
      </c>
      <c r="B33" s="18">
        <v>0.0</v>
      </c>
      <c r="C33" s="175">
        <v>24.394318</v>
      </c>
      <c r="D33" s="175">
        <v>24.052456</v>
      </c>
      <c r="E33" s="175">
        <v>24.173113</v>
      </c>
      <c r="F33" s="175">
        <v>24.206628799438477</v>
      </c>
      <c r="G33" s="175">
        <v>0.17337776720523834</v>
      </c>
    </row>
    <row r="34" ht="14.25" customHeight="1">
      <c r="B34" s="18">
        <v>24.0</v>
      </c>
      <c r="C34" s="175">
        <v>24.100872</v>
      </c>
      <c r="D34" s="175">
        <v>24.159733</v>
      </c>
      <c r="E34" s="175">
        <v>24.308434</v>
      </c>
      <c r="F34" s="175">
        <v>24.189680099487305</v>
      </c>
      <c r="G34" s="175">
        <v>0.10697216540575027</v>
      </c>
    </row>
    <row r="35" ht="14.25" customHeight="1">
      <c r="A35" s="177"/>
      <c r="B35" s="33">
        <v>48.0</v>
      </c>
      <c r="C35" s="178">
        <v>24.304674</v>
      </c>
      <c r="D35" s="178">
        <v>24.389364</v>
      </c>
      <c r="E35" s="178">
        <v>24.406977</v>
      </c>
      <c r="F35" s="178">
        <v>24.36700439453125</v>
      </c>
      <c r="G35" s="178">
        <v>0.05469372868537903</v>
      </c>
      <c r="J35" s="1" t="s">
        <v>125</v>
      </c>
      <c r="K35" s="1" t="s">
        <v>129</v>
      </c>
      <c r="L35" s="1" t="s">
        <v>141</v>
      </c>
      <c r="N35" s="34"/>
      <c r="Q35" s="48"/>
    </row>
    <row r="36" ht="14.25" customHeight="1">
      <c r="A36" s="18" t="s">
        <v>141</v>
      </c>
      <c r="B36" s="18">
        <v>0.0</v>
      </c>
      <c r="C36" s="175">
        <v>27.319876</v>
      </c>
      <c r="D36" s="175">
        <v>27.184092</v>
      </c>
      <c r="E36" s="175">
        <v>27.198948</v>
      </c>
      <c r="F36" s="175">
        <v>27.2343063354492</v>
      </c>
      <c r="G36" s="175">
        <v>0.07447771728038788</v>
      </c>
      <c r="I36" s="18" t="s">
        <v>145</v>
      </c>
      <c r="J36" s="175">
        <v>24.195350646972656</v>
      </c>
      <c r="K36" s="175">
        <v>24.206628799438477</v>
      </c>
      <c r="L36" s="175">
        <v>27.2343063354492</v>
      </c>
    </row>
    <row r="37" ht="14.25" customHeight="1">
      <c r="B37" s="18">
        <v>24.0</v>
      </c>
      <c r="C37" s="175">
        <v>27.2283</v>
      </c>
      <c r="D37" s="175">
        <v>27.143595</v>
      </c>
      <c r="E37" s="175">
        <v>27.297375</v>
      </c>
      <c r="F37" s="175">
        <v>27.22309112548828</v>
      </c>
      <c r="G37" s="175">
        <v>0.07702227681875229</v>
      </c>
      <c r="I37" s="18" t="s">
        <v>147</v>
      </c>
      <c r="J37" s="175">
        <v>24.11232566833496</v>
      </c>
      <c r="K37" s="175">
        <v>24.189680099487305</v>
      </c>
      <c r="L37" s="175">
        <v>27.22309112548828</v>
      </c>
    </row>
    <row r="38" ht="14.25" customHeight="1">
      <c r="A38" s="158"/>
      <c r="B38" s="47">
        <v>48.0</v>
      </c>
      <c r="C38" s="186">
        <v>27.128977</v>
      </c>
      <c r="D38" s="186">
        <v>27.129553</v>
      </c>
      <c r="E38" s="186">
        <v>27.10559</v>
      </c>
      <c r="F38" s="186">
        <v>27.121374130249023</v>
      </c>
      <c r="G38" s="186">
        <v>0.013671230524778366</v>
      </c>
      <c r="I38" s="33" t="s">
        <v>151</v>
      </c>
      <c r="J38" s="178">
        <v>24.18743896484375</v>
      </c>
      <c r="K38" s="178">
        <v>24.36700439453125</v>
      </c>
      <c r="L38" s="186">
        <v>27.121374130249023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B12:B13"/>
    <mergeCell ref="B14:B15"/>
    <mergeCell ref="B16:B17"/>
    <mergeCell ref="B18:B19"/>
    <mergeCell ref="A30:A32"/>
    <mergeCell ref="A33:A35"/>
    <mergeCell ref="A36:A38"/>
    <mergeCell ref="A2:A9"/>
    <mergeCell ref="B2:B3"/>
    <mergeCell ref="B4:B5"/>
    <mergeCell ref="B6:B7"/>
    <mergeCell ref="B8:B9"/>
    <mergeCell ref="A10:A19"/>
    <mergeCell ref="B10:B1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3.13"/>
    <col customWidth="1" min="3" max="3" width="7.0"/>
    <col customWidth="1" min="4" max="4" width="18.0"/>
    <col customWidth="1" min="5" max="5" width="7.63"/>
    <col customWidth="1" min="6" max="6" width="9.38"/>
    <col customWidth="1" min="7" max="7" width="15.0"/>
    <col customWidth="1" min="8" max="8" width="34.25"/>
    <col customWidth="1" min="9" max="13" width="8.63"/>
    <col customWidth="1" min="14" max="14" width="11.13"/>
    <col customWidth="1" min="15" max="26" width="8.63"/>
  </cols>
  <sheetData>
    <row r="1" ht="14.25" customHeight="1">
      <c r="A1" s="176" t="s">
        <v>126</v>
      </c>
      <c r="B1" s="177"/>
      <c r="C1" s="177"/>
      <c r="D1" s="177"/>
      <c r="E1" s="177"/>
      <c r="F1" s="177"/>
      <c r="G1" s="177"/>
      <c r="H1" s="177"/>
    </row>
    <row r="2" ht="71.25" customHeight="1">
      <c r="A2" s="179" t="s">
        <v>128</v>
      </c>
      <c r="B2" s="179" t="s">
        <v>0</v>
      </c>
      <c r="C2" s="179" t="s">
        <v>130</v>
      </c>
      <c r="D2" s="180" t="s">
        <v>131</v>
      </c>
      <c r="E2" s="179" t="s">
        <v>132</v>
      </c>
      <c r="F2" s="180" t="s">
        <v>133</v>
      </c>
      <c r="G2" s="179" t="s">
        <v>134</v>
      </c>
      <c r="H2" s="179" t="s">
        <v>135</v>
      </c>
    </row>
    <row r="3" ht="14.25" customHeight="1">
      <c r="A3" s="181" t="s">
        <v>136</v>
      </c>
      <c r="B3" s="181" t="s">
        <v>137</v>
      </c>
      <c r="C3" s="181" t="s">
        <v>16</v>
      </c>
      <c r="D3" s="181" t="s">
        <v>138</v>
      </c>
      <c r="E3" s="181" t="s">
        <v>139</v>
      </c>
      <c r="F3" s="182" t="s">
        <v>140</v>
      </c>
      <c r="G3" s="181" t="s">
        <v>142</v>
      </c>
      <c r="H3" s="183" t="s">
        <v>143</v>
      </c>
    </row>
    <row r="4" ht="14.25" customHeight="1">
      <c r="A4" s="181" t="s">
        <v>136</v>
      </c>
      <c r="B4" s="181" t="s">
        <v>144</v>
      </c>
      <c r="C4" s="181" t="s">
        <v>16</v>
      </c>
      <c r="D4" s="181" t="s">
        <v>138</v>
      </c>
      <c r="E4" s="181" t="s">
        <v>139</v>
      </c>
      <c r="F4" s="182" t="s">
        <v>140</v>
      </c>
      <c r="G4" s="181" t="s">
        <v>142</v>
      </c>
      <c r="H4" s="184"/>
    </row>
    <row r="5" ht="14.25" customHeight="1">
      <c r="A5" s="181" t="s">
        <v>136</v>
      </c>
      <c r="B5" s="181" t="s">
        <v>146</v>
      </c>
      <c r="C5" s="181" t="s">
        <v>16</v>
      </c>
      <c r="D5" s="181" t="s">
        <v>138</v>
      </c>
      <c r="E5" s="181" t="s">
        <v>139</v>
      </c>
      <c r="F5" s="182" t="s">
        <v>140</v>
      </c>
      <c r="G5" s="181" t="s">
        <v>142</v>
      </c>
      <c r="H5" s="184"/>
    </row>
    <row r="6" ht="14.25" customHeight="1">
      <c r="A6" s="181" t="s">
        <v>136</v>
      </c>
      <c r="B6" s="181" t="s">
        <v>148</v>
      </c>
      <c r="C6" s="181" t="s">
        <v>16</v>
      </c>
      <c r="D6" s="181" t="s">
        <v>149</v>
      </c>
      <c r="E6" s="181" t="s">
        <v>139</v>
      </c>
      <c r="F6" s="182" t="s">
        <v>140</v>
      </c>
      <c r="G6" s="181" t="s">
        <v>142</v>
      </c>
      <c r="H6" s="184"/>
    </row>
    <row r="7" ht="14.25" customHeight="1">
      <c r="A7" s="181" t="s">
        <v>136</v>
      </c>
      <c r="B7" s="181" t="s">
        <v>26</v>
      </c>
      <c r="C7" s="181"/>
      <c r="D7" s="182" t="s">
        <v>150</v>
      </c>
      <c r="E7" s="181" t="s">
        <v>139</v>
      </c>
      <c r="F7" s="182" t="s">
        <v>140</v>
      </c>
      <c r="G7" s="181" t="s">
        <v>142</v>
      </c>
      <c r="H7" s="185"/>
    </row>
    <row r="8" ht="14.25" customHeight="1"/>
    <row r="9" ht="14.25" customHeight="1"/>
    <row r="10" ht="14.25" customHeight="1"/>
    <row r="11" ht="14.25" customHeight="1"/>
    <row r="12" ht="14.25" customHeight="1">
      <c r="A12" s="76" t="s">
        <v>59</v>
      </c>
      <c r="B12" s="77"/>
      <c r="C12" s="77"/>
      <c r="D12" s="77"/>
      <c r="E12" s="77"/>
      <c r="F12" s="78"/>
    </row>
    <row r="13" ht="14.25" customHeight="1">
      <c r="A13" s="187" t="s">
        <v>0</v>
      </c>
      <c r="B13" s="188" t="s">
        <v>109</v>
      </c>
      <c r="C13" s="189" t="s">
        <v>152</v>
      </c>
      <c r="D13" s="189" t="s">
        <v>153</v>
      </c>
      <c r="E13" s="189" t="s">
        <v>154</v>
      </c>
      <c r="F13" s="190" t="s">
        <v>155</v>
      </c>
    </row>
    <row r="14" ht="14.25" customHeight="1">
      <c r="A14" s="191" t="s">
        <v>156</v>
      </c>
      <c r="B14" s="181" t="s">
        <v>33</v>
      </c>
      <c r="C14" s="194">
        <v>10.4</v>
      </c>
      <c r="D14" s="194">
        <v>10.5</v>
      </c>
      <c r="E14" s="194"/>
      <c r="F14" s="195" t="s">
        <v>157</v>
      </c>
    </row>
    <row r="15" ht="14.25" customHeight="1">
      <c r="A15" s="191" t="s">
        <v>158</v>
      </c>
      <c r="B15" s="181" t="s">
        <v>33</v>
      </c>
      <c r="C15" s="194">
        <v>35.6</v>
      </c>
      <c r="D15" s="194">
        <v>35.7</v>
      </c>
      <c r="E15" s="194"/>
      <c r="F15" s="195" t="s">
        <v>157</v>
      </c>
    </row>
    <row r="16" ht="14.25" customHeight="1">
      <c r="A16" s="191" t="s">
        <v>159</v>
      </c>
      <c r="B16" s="181" t="s">
        <v>33</v>
      </c>
      <c r="C16" s="194">
        <v>28.9</v>
      </c>
      <c r="D16" s="194">
        <v>29.0</v>
      </c>
      <c r="E16" s="194">
        <v>28.8</v>
      </c>
      <c r="F16" s="195" t="s">
        <v>157</v>
      </c>
    </row>
    <row r="17" ht="14.25" customHeight="1">
      <c r="A17" s="191" t="s">
        <v>160</v>
      </c>
      <c r="B17" s="181" t="s">
        <v>33</v>
      </c>
      <c r="C17" s="194">
        <v>29.6</v>
      </c>
      <c r="D17" s="194">
        <v>29.6</v>
      </c>
      <c r="E17" s="194">
        <v>29.5</v>
      </c>
      <c r="F17" s="195" t="s">
        <v>157</v>
      </c>
    </row>
    <row r="18" ht="14.25" customHeight="1">
      <c r="A18" s="191" t="s">
        <v>161</v>
      </c>
      <c r="B18" s="181" t="s">
        <v>33</v>
      </c>
      <c r="C18" s="194" t="s">
        <v>91</v>
      </c>
      <c r="D18" s="194" t="s">
        <v>91</v>
      </c>
      <c r="E18" s="194"/>
      <c r="F18" s="195" t="s">
        <v>157</v>
      </c>
    </row>
    <row r="19" ht="14.25" customHeight="1">
      <c r="A19" s="191" t="s">
        <v>162</v>
      </c>
      <c r="B19" s="181" t="s">
        <v>33</v>
      </c>
      <c r="C19" s="194" t="s">
        <v>91</v>
      </c>
      <c r="D19" s="194" t="s">
        <v>91</v>
      </c>
      <c r="E19" s="194"/>
      <c r="F19" s="195" t="s">
        <v>157</v>
      </c>
    </row>
    <row r="20" ht="14.25" customHeight="1">
      <c r="A20" s="197" t="s">
        <v>163</v>
      </c>
      <c r="B20" s="198" t="s">
        <v>33</v>
      </c>
      <c r="C20" s="199" t="s">
        <v>91</v>
      </c>
      <c r="D20" s="199" t="s">
        <v>91</v>
      </c>
      <c r="E20" s="199"/>
      <c r="F20" s="200" t="s">
        <v>157</v>
      </c>
    </row>
    <row r="21" ht="14.25" customHeight="1"/>
    <row r="22" ht="14.25" customHeight="1"/>
    <row r="23" ht="14.25" customHeight="1"/>
    <row r="24" ht="14.25" customHeight="1"/>
    <row r="25" ht="14.25" customHeight="1">
      <c r="A25" s="76" t="s">
        <v>164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8"/>
    </row>
    <row r="26" ht="14.25" customHeight="1">
      <c r="A26" s="187" t="s">
        <v>0</v>
      </c>
      <c r="B26" s="189" t="s">
        <v>167</v>
      </c>
      <c r="C26" s="188" t="s">
        <v>168</v>
      </c>
      <c r="D26" s="188" t="s">
        <v>109</v>
      </c>
      <c r="E26" s="189" t="s">
        <v>152</v>
      </c>
      <c r="F26" s="189" t="s">
        <v>153</v>
      </c>
      <c r="G26" s="189" t="s">
        <v>154</v>
      </c>
      <c r="H26" s="188" t="s">
        <v>155</v>
      </c>
      <c r="I26" s="188" t="s">
        <v>109</v>
      </c>
      <c r="J26" s="189" t="s">
        <v>152</v>
      </c>
      <c r="K26" s="189" t="s">
        <v>153</v>
      </c>
      <c r="L26" s="202" t="s">
        <v>154</v>
      </c>
    </row>
    <row r="27" ht="14.25" customHeight="1">
      <c r="A27" s="191" t="s">
        <v>156</v>
      </c>
      <c r="B27" s="194"/>
      <c r="C27" s="194"/>
      <c r="D27" s="194" t="s">
        <v>33</v>
      </c>
      <c r="E27" s="203">
        <v>9.890319</v>
      </c>
      <c r="F27" s="203">
        <v>9.871518</v>
      </c>
      <c r="G27" s="203">
        <v>9.871953</v>
      </c>
      <c r="H27" s="194"/>
      <c r="I27" s="194"/>
      <c r="J27" s="194"/>
      <c r="K27" s="194"/>
      <c r="L27" s="195"/>
    </row>
    <row r="28" ht="14.25" customHeight="1">
      <c r="A28" s="191" t="s">
        <v>173</v>
      </c>
      <c r="B28" s="194"/>
      <c r="C28" s="194"/>
      <c r="D28" s="194" t="s">
        <v>33</v>
      </c>
      <c r="E28" s="203">
        <v>20.911505</v>
      </c>
      <c r="F28" s="203">
        <v>20.921173</v>
      </c>
      <c r="G28" s="203">
        <v>20.941927</v>
      </c>
      <c r="H28" s="194"/>
      <c r="I28" s="194"/>
      <c r="J28" s="194"/>
      <c r="K28" s="194"/>
      <c r="L28" s="195"/>
    </row>
    <row r="29" ht="14.25" customHeight="1">
      <c r="A29" s="191" t="s">
        <v>178</v>
      </c>
      <c r="B29" s="194"/>
      <c r="C29" s="194"/>
      <c r="D29" s="194" t="s">
        <v>33</v>
      </c>
      <c r="E29" s="203">
        <v>24.545427</v>
      </c>
      <c r="F29" s="203">
        <v>24.559412</v>
      </c>
      <c r="G29" s="203">
        <v>24.410177</v>
      </c>
      <c r="H29" s="194"/>
      <c r="I29" s="194"/>
      <c r="J29" s="194"/>
      <c r="K29" s="194"/>
      <c r="L29" s="195"/>
    </row>
    <row r="30" ht="14.25" customHeight="1">
      <c r="A30" s="191" t="s">
        <v>179</v>
      </c>
      <c r="B30" s="194"/>
      <c r="C30" s="194"/>
      <c r="D30" s="194" t="s">
        <v>33</v>
      </c>
      <c r="E30" s="203">
        <v>28.093071</v>
      </c>
      <c r="F30" s="203">
        <v>28.090153</v>
      </c>
      <c r="G30" s="203">
        <v>28.170841</v>
      </c>
      <c r="H30" s="194"/>
      <c r="I30" s="194"/>
      <c r="J30" s="194"/>
      <c r="K30" s="194"/>
      <c r="L30" s="195"/>
    </row>
    <row r="31" ht="14.25" customHeight="1">
      <c r="A31" s="191" t="s">
        <v>182</v>
      </c>
      <c r="B31" s="194"/>
      <c r="C31" s="194"/>
      <c r="D31" s="194" t="s">
        <v>33</v>
      </c>
      <c r="E31" s="203">
        <v>30.96068</v>
      </c>
      <c r="F31" s="203">
        <v>31.091097</v>
      </c>
      <c r="G31" s="203">
        <v>31.050169</v>
      </c>
      <c r="H31" s="194"/>
      <c r="I31" s="194"/>
      <c r="J31" s="194"/>
      <c r="K31" s="194"/>
      <c r="L31" s="195"/>
    </row>
    <row r="32" ht="14.25" customHeight="1">
      <c r="A32" s="191" t="s">
        <v>158</v>
      </c>
      <c r="B32" s="194"/>
      <c r="C32" s="194"/>
      <c r="D32" s="194" t="s">
        <v>33</v>
      </c>
      <c r="E32" s="203">
        <v>34.582676</v>
      </c>
      <c r="F32" s="203">
        <v>34.33478</v>
      </c>
      <c r="G32" s="203">
        <v>34.828663</v>
      </c>
      <c r="H32" s="194"/>
      <c r="I32" s="194"/>
      <c r="J32" s="194"/>
      <c r="K32" s="194"/>
      <c r="L32" s="195"/>
    </row>
    <row r="33" ht="14.25" customHeight="1">
      <c r="A33" s="191" t="s">
        <v>184</v>
      </c>
      <c r="B33" s="194"/>
      <c r="C33" s="194"/>
      <c r="D33" s="194" t="s">
        <v>33</v>
      </c>
      <c r="E33" s="203">
        <v>37.189327</v>
      </c>
      <c r="F33" s="203">
        <v>36.31507</v>
      </c>
      <c r="G33" s="203">
        <v>38.388012</v>
      </c>
      <c r="H33" s="194"/>
      <c r="I33" s="194"/>
      <c r="J33" s="194"/>
      <c r="K33" s="194"/>
      <c r="L33" s="195"/>
    </row>
    <row r="34" ht="14.25" customHeight="1">
      <c r="A34" s="191" t="s">
        <v>159</v>
      </c>
      <c r="B34" s="194" t="s">
        <v>186</v>
      </c>
      <c r="C34" s="194">
        <v>110.0</v>
      </c>
      <c r="D34" s="194" t="s">
        <v>33</v>
      </c>
      <c r="E34" s="203">
        <v>27.814833</v>
      </c>
      <c r="F34" s="203">
        <v>27.674786</v>
      </c>
      <c r="G34" s="203">
        <v>27.675234</v>
      </c>
      <c r="H34" s="194" t="s">
        <v>187</v>
      </c>
      <c r="I34" s="194" t="s">
        <v>188</v>
      </c>
      <c r="J34" s="203">
        <v>28.305483</v>
      </c>
      <c r="K34" s="203">
        <v>28.518686</v>
      </c>
      <c r="L34" s="209">
        <v>27.882954</v>
      </c>
    </row>
    <row r="35" ht="14.25" customHeight="1">
      <c r="A35" s="191" t="s">
        <v>190</v>
      </c>
      <c r="B35" s="194" t="s">
        <v>191</v>
      </c>
      <c r="C35" s="194">
        <v>97.8</v>
      </c>
      <c r="D35" s="194" t="s">
        <v>33</v>
      </c>
      <c r="E35" s="203">
        <v>28.142942</v>
      </c>
      <c r="F35" s="203">
        <v>28.1347</v>
      </c>
      <c r="G35" s="203">
        <v>28.210722</v>
      </c>
      <c r="H35" s="194" t="s">
        <v>187</v>
      </c>
      <c r="I35" s="194" t="s">
        <v>188</v>
      </c>
      <c r="J35" s="203">
        <v>28.555431</v>
      </c>
      <c r="K35" s="203">
        <v>28.537745</v>
      </c>
      <c r="L35" s="209">
        <v>28.515347</v>
      </c>
    </row>
    <row r="36" ht="14.25" customHeight="1">
      <c r="A36" s="191" t="s">
        <v>160</v>
      </c>
      <c r="B36" s="210" t="s">
        <v>186</v>
      </c>
      <c r="C36" s="210">
        <v>114.0</v>
      </c>
      <c r="D36" s="194" t="s">
        <v>33</v>
      </c>
      <c r="E36" s="203">
        <v>28.41451</v>
      </c>
      <c r="F36" s="203">
        <v>28.21749</v>
      </c>
      <c r="G36" s="203">
        <v>28.185017</v>
      </c>
      <c r="H36" s="194" t="s">
        <v>187</v>
      </c>
      <c r="I36" s="194" t="s">
        <v>188</v>
      </c>
      <c r="J36" s="203">
        <v>28.504353</v>
      </c>
      <c r="K36" s="203">
        <v>28.674633</v>
      </c>
      <c r="L36" s="209">
        <v>28.616014</v>
      </c>
    </row>
    <row r="37" ht="14.25" customHeight="1">
      <c r="A37" s="191" t="s">
        <v>193</v>
      </c>
      <c r="B37" s="210" t="s">
        <v>191</v>
      </c>
      <c r="C37" s="210">
        <v>120.0</v>
      </c>
      <c r="D37" s="194" t="s">
        <v>33</v>
      </c>
      <c r="E37" s="203">
        <v>28.956516</v>
      </c>
      <c r="F37" s="203">
        <v>28.94811</v>
      </c>
      <c r="G37" s="203">
        <v>29.062883</v>
      </c>
      <c r="H37" s="194" t="s">
        <v>187</v>
      </c>
      <c r="I37" s="194" t="s">
        <v>188</v>
      </c>
      <c r="J37" s="203">
        <v>28.532469</v>
      </c>
      <c r="K37" s="203">
        <v>28.530075</v>
      </c>
      <c r="L37" s="209">
        <v>28.529377</v>
      </c>
    </row>
    <row r="38" ht="14.25" customHeight="1">
      <c r="A38" s="191" t="s">
        <v>195</v>
      </c>
      <c r="B38" s="210" t="s">
        <v>186</v>
      </c>
      <c r="C38" s="210">
        <v>118.0</v>
      </c>
      <c r="D38" s="194" t="s">
        <v>33</v>
      </c>
      <c r="E38" s="203">
        <v>28.29792</v>
      </c>
      <c r="F38" s="203">
        <v>28.31308</v>
      </c>
      <c r="G38" s="203">
        <v>28.374765</v>
      </c>
      <c r="H38" s="194" t="s">
        <v>187</v>
      </c>
      <c r="I38" s="194" t="s">
        <v>188</v>
      </c>
      <c r="J38" s="203">
        <v>28.43646</v>
      </c>
      <c r="K38" s="203">
        <v>28.639072</v>
      </c>
      <c r="L38" s="209">
        <v>28.58712</v>
      </c>
    </row>
    <row r="39" ht="14.25" customHeight="1">
      <c r="A39" s="191" t="s">
        <v>196</v>
      </c>
      <c r="B39" s="210" t="s">
        <v>191</v>
      </c>
      <c r="C39" s="210">
        <v>106.0</v>
      </c>
      <c r="D39" s="194" t="s">
        <v>33</v>
      </c>
      <c r="E39" s="203">
        <v>27.880466</v>
      </c>
      <c r="F39" s="203">
        <v>27.924803</v>
      </c>
      <c r="G39" s="203">
        <v>27.986061</v>
      </c>
      <c r="H39" s="194" t="s">
        <v>187</v>
      </c>
      <c r="I39" s="194" t="s">
        <v>188</v>
      </c>
      <c r="J39" s="203">
        <v>28.543665</v>
      </c>
      <c r="K39" s="203">
        <v>28.561584</v>
      </c>
      <c r="L39" s="209">
        <v>28.574474</v>
      </c>
    </row>
    <row r="40" ht="14.25" customHeight="1">
      <c r="A40" s="191" t="s">
        <v>197</v>
      </c>
      <c r="B40" s="210" t="s">
        <v>186</v>
      </c>
      <c r="C40" s="210">
        <v>0.516</v>
      </c>
      <c r="D40" s="194" t="s">
        <v>33</v>
      </c>
      <c r="E40" s="194" t="s">
        <v>91</v>
      </c>
      <c r="F40" s="194" t="s">
        <v>91</v>
      </c>
      <c r="G40" s="194" t="s">
        <v>91</v>
      </c>
      <c r="H40" s="194" t="s">
        <v>187</v>
      </c>
      <c r="I40" s="194" t="s">
        <v>188</v>
      </c>
      <c r="J40" s="203">
        <v>28.752125</v>
      </c>
      <c r="K40" s="203">
        <v>28.797472</v>
      </c>
      <c r="L40" s="209">
        <v>28.744547</v>
      </c>
    </row>
    <row r="41" ht="14.25" customHeight="1">
      <c r="A41" s="191" t="s">
        <v>201</v>
      </c>
      <c r="B41" s="210" t="s">
        <v>191</v>
      </c>
      <c r="C41" s="210">
        <v>0.546</v>
      </c>
      <c r="D41" s="194" t="s">
        <v>33</v>
      </c>
      <c r="E41" s="194" t="s">
        <v>91</v>
      </c>
      <c r="F41" s="194" t="s">
        <v>91</v>
      </c>
      <c r="G41" s="194" t="s">
        <v>91</v>
      </c>
      <c r="H41" s="194" t="s">
        <v>187</v>
      </c>
      <c r="I41" s="194" t="s">
        <v>188</v>
      </c>
      <c r="J41" s="203">
        <v>28.69762</v>
      </c>
      <c r="K41" s="203">
        <v>28.738405</v>
      </c>
      <c r="L41" s="209">
        <v>28.776768</v>
      </c>
    </row>
    <row r="42" ht="14.25" customHeight="1">
      <c r="A42" s="216" t="s">
        <v>161</v>
      </c>
      <c r="B42" s="210" t="s">
        <v>186</v>
      </c>
      <c r="C42" s="210">
        <v>0.0</v>
      </c>
      <c r="D42" s="194" t="s">
        <v>33</v>
      </c>
      <c r="E42" s="194" t="s">
        <v>91</v>
      </c>
      <c r="F42" s="194" t="s">
        <v>91</v>
      </c>
      <c r="G42" s="194" t="s">
        <v>91</v>
      </c>
      <c r="H42" s="194" t="s">
        <v>187</v>
      </c>
      <c r="I42" s="194" t="s">
        <v>188</v>
      </c>
      <c r="J42" s="203">
        <v>28.716875</v>
      </c>
      <c r="K42" s="203">
        <v>28.581888</v>
      </c>
      <c r="L42" s="209">
        <v>28.720001</v>
      </c>
    </row>
    <row r="43" ht="14.25" customHeight="1">
      <c r="A43" s="191" t="s">
        <v>203</v>
      </c>
      <c r="B43" s="210" t="s">
        <v>191</v>
      </c>
      <c r="C43" s="210">
        <v>0.0</v>
      </c>
      <c r="D43" s="194" t="s">
        <v>33</v>
      </c>
      <c r="E43" s="194" t="s">
        <v>91</v>
      </c>
      <c r="F43" s="194" t="s">
        <v>91</v>
      </c>
      <c r="G43" s="194" t="s">
        <v>91</v>
      </c>
      <c r="H43" s="194" t="s">
        <v>187</v>
      </c>
      <c r="I43" s="194" t="s">
        <v>188</v>
      </c>
      <c r="J43" s="203">
        <v>28.716585</v>
      </c>
      <c r="K43" s="203">
        <v>28.751146</v>
      </c>
      <c r="L43" s="209">
        <v>28.91939</v>
      </c>
    </row>
    <row r="44" ht="14.25" customHeight="1">
      <c r="A44" s="197" t="s">
        <v>163</v>
      </c>
      <c r="B44" s="199"/>
      <c r="C44" s="199"/>
      <c r="D44" s="199" t="s">
        <v>33</v>
      </c>
      <c r="E44" s="199" t="s">
        <v>91</v>
      </c>
      <c r="F44" s="199" t="s">
        <v>91</v>
      </c>
      <c r="G44" s="199" t="s">
        <v>91</v>
      </c>
      <c r="H44" s="199" t="s">
        <v>187</v>
      </c>
      <c r="I44" s="199" t="s">
        <v>188</v>
      </c>
      <c r="J44" s="218">
        <v>28.640211</v>
      </c>
      <c r="K44" s="218">
        <v>28.502625</v>
      </c>
      <c r="L44" s="219">
        <v>28.789368</v>
      </c>
    </row>
    <row r="45" ht="14.25" customHeight="1"/>
    <row r="46" ht="14.25" customHeight="1"/>
    <row r="47" ht="14.25" customHeight="1"/>
    <row r="48" ht="14.25" customHeight="1">
      <c r="C48" s="109" t="s">
        <v>207</v>
      </c>
      <c r="D48" s="158"/>
      <c r="E48" s="158"/>
      <c r="F48" s="158"/>
      <c r="G48" s="158"/>
      <c r="H48" s="220" t="s">
        <v>208</v>
      </c>
      <c r="I48" s="158"/>
      <c r="J48" s="158"/>
      <c r="K48" s="158"/>
      <c r="L48" s="158"/>
      <c r="M48" s="5"/>
    </row>
    <row r="49" ht="14.25" customHeight="1">
      <c r="A49" s="221" t="s">
        <v>0</v>
      </c>
      <c r="B49" s="222" t="s">
        <v>167</v>
      </c>
      <c r="C49" s="222" t="s">
        <v>152</v>
      </c>
      <c r="D49" s="222" t="s">
        <v>153</v>
      </c>
      <c r="E49" s="222" t="s">
        <v>154</v>
      </c>
      <c r="F49" s="222" t="s">
        <v>123</v>
      </c>
      <c r="G49" s="223" t="s">
        <v>155</v>
      </c>
      <c r="H49" s="222" t="s">
        <v>152</v>
      </c>
      <c r="I49" s="222" t="s">
        <v>153</v>
      </c>
      <c r="J49" s="222" t="s">
        <v>154</v>
      </c>
      <c r="K49" s="222" t="s">
        <v>123</v>
      </c>
      <c r="L49" s="223" t="s">
        <v>155</v>
      </c>
    </row>
    <row r="50" ht="14.25" customHeight="1">
      <c r="A50" s="224" t="s">
        <v>156</v>
      </c>
      <c r="B50" s="97"/>
      <c r="C50" s="224">
        <v>10.4</v>
      </c>
      <c r="D50" s="224">
        <v>10.5</v>
      </c>
      <c r="E50" s="224"/>
      <c r="F50" s="227">
        <f t="shared" ref="F50:F51" si="1">AVERAGE(C50:D50)</f>
        <v>10.45</v>
      </c>
      <c r="G50" s="97" t="s">
        <v>157</v>
      </c>
      <c r="H50" s="228">
        <v>9.890319</v>
      </c>
      <c r="I50" s="228">
        <v>9.871518</v>
      </c>
      <c r="J50" s="228">
        <v>9.871953</v>
      </c>
      <c r="K50" s="230">
        <f t="shared" ref="K50:K57" si="2">AVERAGE(H50:J50)</f>
        <v>9.87793</v>
      </c>
      <c r="L50" s="97" t="s">
        <v>187</v>
      </c>
    </row>
    <row r="51" ht="14.25" customHeight="1">
      <c r="A51" s="224" t="s">
        <v>158</v>
      </c>
      <c r="B51" s="97"/>
      <c r="C51" s="224">
        <v>35.6</v>
      </c>
      <c r="D51" s="224">
        <v>30.7</v>
      </c>
      <c r="E51" s="224"/>
      <c r="F51" s="227">
        <f t="shared" si="1"/>
        <v>33.15</v>
      </c>
      <c r="G51" s="97" t="s">
        <v>157</v>
      </c>
      <c r="H51" s="231">
        <v>34.582676</v>
      </c>
      <c r="I51" s="231">
        <v>34.33478</v>
      </c>
      <c r="J51" s="231">
        <v>34.828663</v>
      </c>
      <c r="K51" s="230">
        <f t="shared" si="2"/>
        <v>34.58203967</v>
      </c>
      <c r="L51" s="97" t="s">
        <v>187</v>
      </c>
      <c r="O51" s="111"/>
    </row>
    <row r="52" ht="14.25" customHeight="1">
      <c r="A52" s="224" t="s">
        <v>159</v>
      </c>
      <c r="B52" s="224" t="s">
        <v>186</v>
      </c>
      <c r="C52" s="224">
        <v>28.9</v>
      </c>
      <c r="D52" s="224">
        <v>29.0</v>
      </c>
      <c r="E52" s="224">
        <v>28.8</v>
      </c>
      <c r="F52" s="97">
        <f>AVERAGE(C52:E52)</f>
        <v>28.9</v>
      </c>
      <c r="G52" s="97" t="s">
        <v>157</v>
      </c>
      <c r="H52" s="228">
        <v>27.814833</v>
      </c>
      <c r="I52" s="228">
        <v>27.674786</v>
      </c>
      <c r="J52" s="228">
        <v>27.675234</v>
      </c>
      <c r="K52" s="230">
        <f t="shared" si="2"/>
        <v>27.72161767</v>
      </c>
      <c r="L52" s="97" t="s">
        <v>187</v>
      </c>
      <c r="N52" s="232"/>
      <c r="O52" s="233"/>
    </row>
    <row r="53" ht="14.25" customHeight="1">
      <c r="A53" s="224" t="s">
        <v>190</v>
      </c>
      <c r="B53" s="224" t="s">
        <v>191</v>
      </c>
      <c r="C53" s="234" t="s">
        <v>215</v>
      </c>
      <c r="D53" s="234" t="s">
        <v>215</v>
      </c>
      <c r="E53" s="234" t="s">
        <v>215</v>
      </c>
      <c r="F53" s="97"/>
      <c r="G53" s="234" t="s">
        <v>215</v>
      </c>
      <c r="H53" s="228">
        <v>28.142942</v>
      </c>
      <c r="I53" s="228">
        <v>28.1347</v>
      </c>
      <c r="J53" s="228">
        <v>28.210722</v>
      </c>
      <c r="K53" s="230">
        <f t="shared" si="2"/>
        <v>28.162788</v>
      </c>
      <c r="L53" s="97" t="s">
        <v>187</v>
      </c>
      <c r="O53" s="233"/>
    </row>
    <row r="54" ht="14.25" customHeight="1">
      <c r="A54" s="224" t="s">
        <v>160</v>
      </c>
      <c r="B54" s="224" t="s">
        <v>186</v>
      </c>
      <c r="C54" s="224">
        <v>29.6</v>
      </c>
      <c r="D54" s="224">
        <v>29.6</v>
      </c>
      <c r="E54" s="224">
        <v>29.5</v>
      </c>
      <c r="F54" s="235">
        <f>AVERAGE(C54:E54)</f>
        <v>29.56666667</v>
      </c>
      <c r="G54" s="97" t="s">
        <v>157</v>
      </c>
      <c r="H54" s="228">
        <v>28.41451</v>
      </c>
      <c r="I54" s="228">
        <v>28.21749</v>
      </c>
      <c r="J54" s="228">
        <v>28.185017</v>
      </c>
      <c r="K54" s="230">
        <f t="shared" si="2"/>
        <v>28.272339</v>
      </c>
      <c r="L54" s="97" t="s">
        <v>187</v>
      </c>
      <c r="O54" s="233"/>
    </row>
    <row r="55" ht="14.25" customHeight="1">
      <c r="A55" s="224" t="s">
        <v>193</v>
      </c>
      <c r="B55" s="224" t="s">
        <v>191</v>
      </c>
      <c r="C55" s="234" t="s">
        <v>215</v>
      </c>
      <c r="D55" s="234" t="s">
        <v>215</v>
      </c>
      <c r="E55" s="234" t="s">
        <v>215</v>
      </c>
      <c r="F55" s="97"/>
      <c r="G55" s="234" t="s">
        <v>215</v>
      </c>
      <c r="H55" s="228">
        <v>28.956516</v>
      </c>
      <c r="I55" s="228">
        <v>28.94811</v>
      </c>
      <c r="J55" s="228">
        <v>29.062883</v>
      </c>
      <c r="K55" s="230">
        <f t="shared" si="2"/>
        <v>28.98916967</v>
      </c>
      <c r="L55" s="97" t="s">
        <v>187</v>
      </c>
      <c r="O55" s="233"/>
    </row>
    <row r="56" ht="14.25" customHeight="1">
      <c r="A56" s="224" t="s">
        <v>195</v>
      </c>
      <c r="B56" s="210" t="s">
        <v>186</v>
      </c>
      <c r="C56" s="234" t="s">
        <v>215</v>
      </c>
      <c r="D56" s="234" t="s">
        <v>215</v>
      </c>
      <c r="E56" s="234" t="s">
        <v>215</v>
      </c>
      <c r="F56" s="97"/>
      <c r="G56" s="234" t="s">
        <v>215</v>
      </c>
      <c r="H56" s="228">
        <v>28.29792</v>
      </c>
      <c r="I56" s="228">
        <v>28.31308</v>
      </c>
      <c r="J56" s="228">
        <v>28.374765</v>
      </c>
      <c r="K56" s="230">
        <f t="shared" si="2"/>
        <v>28.32858833</v>
      </c>
      <c r="L56" s="97" t="s">
        <v>187</v>
      </c>
      <c r="O56" s="233"/>
    </row>
    <row r="57" ht="14.25" customHeight="1">
      <c r="A57" s="224" t="s">
        <v>196</v>
      </c>
      <c r="B57" s="224" t="s">
        <v>191</v>
      </c>
      <c r="C57" s="234" t="s">
        <v>215</v>
      </c>
      <c r="D57" s="234" t="s">
        <v>215</v>
      </c>
      <c r="E57" s="234" t="s">
        <v>215</v>
      </c>
      <c r="F57" s="97"/>
      <c r="G57" s="234" t="s">
        <v>215</v>
      </c>
      <c r="H57" s="228">
        <v>27.880466</v>
      </c>
      <c r="I57" s="228">
        <v>27.924803</v>
      </c>
      <c r="J57" s="228">
        <v>27.986061</v>
      </c>
      <c r="K57" s="230">
        <f t="shared" si="2"/>
        <v>27.93044333</v>
      </c>
      <c r="L57" s="97" t="s">
        <v>187</v>
      </c>
      <c r="O57" s="97"/>
    </row>
    <row r="58" ht="14.25" customHeight="1">
      <c r="A58" s="224" t="s">
        <v>197</v>
      </c>
      <c r="B58" s="224" t="s">
        <v>186</v>
      </c>
      <c r="C58" s="234" t="s">
        <v>91</v>
      </c>
      <c r="D58" s="234" t="s">
        <v>91</v>
      </c>
      <c r="E58" s="234" t="s">
        <v>215</v>
      </c>
      <c r="F58" s="97" t="s">
        <v>91</v>
      </c>
      <c r="G58" s="234" t="s">
        <v>215</v>
      </c>
      <c r="H58" s="234" t="s">
        <v>91</v>
      </c>
      <c r="I58" s="234" t="s">
        <v>91</v>
      </c>
      <c r="J58" s="234" t="s">
        <v>91</v>
      </c>
      <c r="K58" s="228" t="s">
        <v>91</v>
      </c>
      <c r="L58" s="97" t="s">
        <v>187</v>
      </c>
      <c r="O58" s="224"/>
    </row>
    <row r="59" ht="14.25" customHeight="1">
      <c r="A59" s="224" t="s">
        <v>201</v>
      </c>
      <c r="B59" s="224" t="s">
        <v>191</v>
      </c>
      <c r="C59" s="234" t="s">
        <v>215</v>
      </c>
      <c r="D59" s="234" t="s">
        <v>215</v>
      </c>
      <c r="E59" s="234" t="s">
        <v>215</v>
      </c>
      <c r="F59" s="97"/>
      <c r="G59" s="97" t="s">
        <v>157</v>
      </c>
      <c r="H59" s="234" t="s">
        <v>91</v>
      </c>
      <c r="I59" s="234" t="s">
        <v>91</v>
      </c>
      <c r="J59" s="234" t="s">
        <v>91</v>
      </c>
      <c r="K59" s="228" t="s">
        <v>91</v>
      </c>
      <c r="L59" s="97" t="s">
        <v>187</v>
      </c>
      <c r="N59" s="232"/>
      <c r="O59" s="233"/>
    </row>
    <row r="60" ht="14.25" customHeight="1">
      <c r="A60" s="97" t="s">
        <v>161</v>
      </c>
      <c r="B60" s="224" t="s">
        <v>186</v>
      </c>
      <c r="C60" s="234" t="s">
        <v>91</v>
      </c>
      <c r="D60" s="234" t="s">
        <v>91</v>
      </c>
      <c r="E60" s="234" t="s">
        <v>215</v>
      </c>
      <c r="F60" s="97" t="s">
        <v>91</v>
      </c>
      <c r="G60" s="97" t="s">
        <v>157</v>
      </c>
      <c r="H60" s="234" t="s">
        <v>91</v>
      </c>
      <c r="I60" s="234" t="s">
        <v>91</v>
      </c>
      <c r="J60" s="234" t="s">
        <v>91</v>
      </c>
      <c r="K60" s="228" t="s">
        <v>91</v>
      </c>
      <c r="L60" s="97" t="s">
        <v>187</v>
      </c>
      <c r="O60" s="233"/>
    </row>
    <row r="61" ht="14.25" customHeight="1">
      <c r="A61" s="224" t="s">
        <v>203</v>
      </c>
      <c r="B61" s="224" t="s">
        <v>191</v>
      </c>
      <c r="C61" s="234" t="s">
        <v>215</v>
      </c>
      <c r="D61" s="234" t="s">
        <v>215</v>
      </c>
      <c r="E61" s="234" t="s">
        <v>215</v>
      </c>
      <c r="F61" s="97"/>
      <c r="G61" s="234" t="s">
        <v>215</v>
      </c>
      <c r="H61" s="234" t="s">
        <v>91</v>
      </c>
      <c r="I61" s="234" t="s">
        <v>91</v>
      </c>
      <c r="J61" s="234" t="s">
        <v>91</v>
      </c>
      <c r="K61" s="228" t="s">
        <v>91</v>
      </c>
      <c r="L61" s="97" t="s">
        <v>187</v>
      </c>
      <c r="O61" s="233"/>
    </row>
    <row r="62" ht="14.25" customHeight="1">
      <c r="A62" s="224" t="s">
        <v>216</v>
      </c>
      <c r="B62" s="97"/>
      <c r="C62" s="234" t="s">
        <v>91</v>
      </c>
      <c r="D62" s="234" t="s">
        <v>91</v>
      </c>
      <c r="E62" s="234" t="s">
        <v>215</v>
      </c>
      <c r="F62" s="97" t="s">
        <v>91</v>
      </c>
      <c r="G62" s="234" t="s">
        <v>215</v>
      </c>
      <c r="H62" s="234" t="s">
        <v>215</v>
      </c>
      <c r="I62" s="234" t="s">
        <v>215</v>
      </c>
      <c r="J62" s="234" t="s">
        <v>215</v>
      </c>
      <c r="K62" s="228"/>
      <c r="L62" s="234" t="s">
        <v>215</v>
      </c>
      <c r="O62" s="233"/>
    </row>
    <row r="63" ht="14.25" customHeight="1">
      <c r="A63" s="236" t="s">
        <v>217</v>
      </c>
      <c r="B63" s="105"/>
      <c r="C63" s="237" t="s">
        <v>215</v>
      </c>
      <c r="D63" s="237" t="s">
        <v>215</v>
      </c>
      <c r="E63" s="237" t="s">
        <v>215</v>
      </c>
      <c r="F63" s="105"/>
      <c r="G63" s="237" t="s">
        <v>215</v>
      </c>
      <c r="H63" s="237" t="s">
        <v>91</v>
      </c>
      <c r="I63" s="237" t="s">
        <v>91</v>
      </c>
      <c r="J63" s="237" t="s">
        <v>91</v>
      </c>
      <c r="K63" s="238" t="s">
        <v>91</v>
      </c>
      <c r="L63" s="105" t="s">
        <v>187</v>
      </c>
      <c r="O63" s="233"/>
    </row>
    <row r="64" ht="14.25" customHeight="1">
      <c r="O64" s="97"/>
    </row>
    <row r="65" ht="14.25" customHeight="1">
      <c r="O65" s="224"/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H1"/>
    <mergeCell ref="H3:H7"/>
    <mergeCell ref="A12:F12"/>
    <mergeCell ref="A25:L25"/>
    <mergeCell ref="C48:G48"/>
    <mergeCell ref="H48:L48"/>
    <mergeCell ref="N52:N58"/>
    <mergeCell ref="N59:N65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6" width="8.63"/>
    <col customWidth="1" min="7" max="7" width="12.75"/>
    <col customWidth="1" min="8" max="8" width="37.25"/>
    <col customWidth="1" min="9" max="26" width="8.63"/>
  </cols>
  <sheetData>
    <row r="1">
      <c r="A1" s="240" t="s">
        <v>234</v>
      </c>
      <c r="L1" s="241"/>
      <c r="M1" s="241"/>
      <c r="N1" s="241"/>
      <c r="O1" s="241"/>
    </row>
    <row r="2">
      <c r="A2" s="241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</row>
    <row r="3">
      <c r="A3" s="241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</row>
    <row r="4">
      <c r="A4" s="242" t="s">
        <v>0</v>
      </c>
      <c r="B4" s="242" t="s">
        <v>2</v>
      </c>
      <c r="C4" s="242" t="s">
        <v>3</v>
      </c>
      <c r="D4" s="242" t="s">
        <v>165</v>
      </c>
      <c r="E4" s="242" t="s">
        <v>4</v>
      </c>
      <c r="F4" s="243" t="s">
        <v>5</v>
      </c>
      <c r="G4" s="244" t="s">
        <v>37</v>
      </c>
      <c r="H4" s="244" t="s">
        <v>38</v>
      </c>
      <c r="I4" s="243" t="s">
        <v>7</v>
      </c>
      <c r="J4" s="244" t="s">
        <v>8</v>
      </c>
      <c r="K4" s="244" t="s">
        <v>9</v>
      </c>
      <c r="L4" s="244" t="s">
        <v>10</v>
      </c>
      <c r="M4" s="245"/>
      <c r="N4" s="241"/>
      <c r="O4" s="241"/>
    </row>
    <row r="5">
      <c r="A5" s="246" t="s">
        <v>235</v>
      </c>
      <c r="B5" s="247" t="s">
        <v>183</v>
      </c>
      <c r="C5" s="241" t="s">
        <v>236</v>
      </c>
      <c r="D5" s="241" t="s">
        <v>174</v>
      </c>
      <c r="E5" s="241" t="s">
        <v>175</v>
      </c>
      <c r="F5" s="248" t="s">
        <v>176</v>
      </c>
      <c r="G5" s="241" t="s">
        <v>237</v>
      </c>
      <c r="H5" s="241" t="s">
        <v>177</v>
      </c>
      <c r="I5" s="241">
        <v>12.8</v>
      </c>
      <c r="J5" s="241">
        <v>33.84</v>
      </c>
      <c r="K5" s="241">
        <v>33.57</v>
      </c>
      <c r="L5" s="241">
        <v>33.64</v>
      </c>
      <c r="M5" s="241"/>
      <c r="N5" s="241"/>
      <c r="O5" s="241"/>
    </row>
    <row r="6">
      <c r="A6" s="246" t="s">
        <v>238</v>
      </c>
      <c r="B6" s="247" t="s">
        <v>183</v>
      </c>
      <c r="C6" s="241" t="s">
        <v>236</v>
      </c>
      <c r="D6" s="241" t="s">
        <v>174</v>
      </c>
      <c r="E6" s="241" t="s">
        <v>175</v>
      </c>
      <c r="F6" s="248" t="s">
        <v>176</v>
      </c>
      <c r="G6" s="241" t="s">
        <v>237</v>
      </c>
      <c r="H6" s="241" t="s">
        <v>177</v>
      </c>
      <c r="I6" s="241">
        <v>13.2</v>
      </c>
      <c r="J6" s="241">
        <v>33.57</v>
      </c>
      <c r="K6" s="241">
        <v>32.82</v>
      </c>
      <c r="L6" s="241">
        <v>33.39</v>
      </c>
      <c r="M6" s="241"/>
      <c r="N6" s="241"/>
      <c r="O6" s="241"/>
    </row>
    <row r="7">
      <c r="A7" s="249" t="s">
        <v>239</v>
      </c>
      <c r="B7" s="250" t="s">
        <v>171</v>
      </c>
      <c r="C7" s="249" t="s">
        <v>236</v>
      </c>
      <c r="D7" s="249" t="s">
        <v>174</v>
      </c>
      <c r="E7" s="249" t="s">
        <v>175</v>
      </c>
      <c r="F7" s="251" t="s">
        <v>176</v>
      </c>
      <c r="G7" s="249" t="s">
        <v>237</v>
      </c>
      <c r="H7" s="249" t="s">
        <v>177</v>
      </c>
      <c r="I7" s="251" t="s">
        <v>240</v>
      </c>
      <c r="J7" s="249" t="s">
        <v>91</v>
      </c>
      <c r="K7" s="249" t="s">
        <v>91</v>
      </c>
      <c r="L7" s="249" t="s">
        <v>91</v>
      </c>
      <c r="M7" s="241"/>
      <c r="N7" s="241"/>
      <c r="O7" s="241"/>
    </row>
    <row r="8">
      <c r="A8" s="241" t="s">
        <v>241</v>
      </c>
      <c r="B8" s="247" t="s">
        <v>242</v>
      </c>
      <c r="C8" s="241"/>
      <c r="D8" s="241"/>
      <c r="E8" s="241"/>
      <c r="F8" s="241"/>
      <c r="G8" s="241"/>
      <c r="H8" s="241"/>
      <c r="I8" s="241"/>
      <c r="J8" s="241">
        <v>33.29</v>
      </c>
      <c r="K8" s="241">
        <v>33.37</v>
      </c>
      <c r="L8" s="241"/>
      <c r="M8" s="241"/>
      <c r="N8" s="241"/>
      <c r="O8" s="241"/>
    </row>
    <row r="9">
      <c r="A9" s="252" t="s">
        <v>243</v>
      </c>
      <c r="B9" s="253" t="s">
        <v>244</v>
      </c>
      <c r="C9" s="252" t="s">
        <v>245</v>
      </c>
      <c r="D9" s="252" t="s">
        <v>245</v>
      </c>
      <c r="E9" s="252" t="s">
        <v>245</v>
      </c>
      <c r="F9" s="252" t="s">
        <v>245</v>
      </c>
      <c r="G9" s="252" t="s">
        <v>245</v>
      </c>
      <c r="H9" s="252" t="s">
        <v>245</v>
      </c>
      <c r="I9" s="252" t="s">
        <v>245</v>
      </c>
      <c r="J9" s="252">
        <v>35.05</v>
      </c>
      <c r="K9" s="252">
        <v>36.53</v>
      </c>
      <c r="L9" s="252">
        <v>36.96</v>
      </c>
      <c r="M9" s="241"/>
      <c r="N9" s="241"/>
      <c r="O9" s="241"/>
    </row>
    <row r="10">
      <c r="A10" s="241"/>
      <c r="B10" s="241"/>
      <c r="C10" s="241"/>
      <c r="D10" s="241"/>
      <c r="E10" s="241"/>
      <c r="F10" s="241"/>
      <c r="G10" s="241"/>
      <c r="H10" s="241"/>
      <c r="I10" s="241"/>
      <c r="J10" s="241"/>
      <c r="K10" s="241"/>
      <c r="L10" s="241"/>
      <c r="M10" s="241"/>
      <c r="N10" s="241"/>
      <c r="O10" s="241"/>
    </row>
    <row r="11">
      <c r="A11" s="254" t="s">
        <v>246</v>
      </c>
      <c r="B11" s="177"/>
      <c r="C11" s="177"/>
      <c r="D11" s="177"/>
      <c r="E11" s="177"/>
      <c r="F11" s="177"/>
      <c r="G11" s="177"/>
      <c r="H11" s="177"/>
      <c r="I11" s="177"/>
      <c r="J11" s="241"/>
      <c r="K11" s="241"/>
      <c r="L11" s="241"/>
      <c r="M11" s="241"/>
      <c r="N11" s="241"/>
      <c r="O11" s="241"/>
    </row>
    <row r="12">
      <c r="A12" s="255" t="s">
        <v>128</v>
      </c>
      <c r="B12" s="256" t="s">
        <v>0</v>
      </c>
      <c r="C12" s="256" t="s">
        <v>130</v>
      </c>
      <c r="D12" s="257" t="s">
        <v>131</v>
      </c>
      <c r="E12" s="256" t="s">
        <v>247</v>
      </c>
      <c r="F12" s="257" t="s">
        <v>133</v>
      </c>
      <c r="G12" s="256" t="s">
        <v>134</v>
      </c>
      <c r="H12" s="256" t="s">
        <v>135</v>
      </c>
      <c r="I12" s="256" t="s">
        <v>248</v>
      </c>
      <c r="J12" s="241"/>
      <c r="K12" s="241"/>
      <c r="L12" s="241"/>
      <c r="M12" s="241"/>
      <c r="N12" s="241"/>
      <c r="O12" s="241"/>
    </row>
    <row r="13">
      <c r="A13" s="258" t="s">
        <v>249</v>
      </c>
      <c r="B13" s="259" t="s">
        <v>250</v>
      </c>
      <c r="C13" s="259" t="s">
        <v>20</v>
      </c>
      <c r="D13" s="259" t="s">
        <v>138</v>
      </c>
      <c r="E13" s="259" t="s">
        <v>186</v>
      </c>
      <c r="F13" s="259" t="s">
        <v>245</v>
      </c>
      <c r="G13" s="259" t="s">
        <v>245</v>
      </c>
      <c r="H13" s="260" t="s">
        <v>251</v>
      </c>
      <c r="I13" s="261" t="s">
        <v>245</v>
      </c>
      <c r="J13" s="241"/>
      <c r="K13" s="241"/>
      <c r="L13" s="241"/>
      <c r="M13" s="241"/>
      <c r="N13" s="241"/>
      <c r="O13" s="241"/>
    </row>
    <row r="14">
      <c r="A14" s="258" t="s">
        <v>249</v>
      </c>
      <c r="B14" s="259" t="s">
        <v>252</v>
      </c>
      <c r="C14" s="259" t="s">
        <v>20</v>
      </c>
      <c r="D14" s="259" t="s">
        <v>138</v>
      </c>
      <c r="E14" s="259" t="s">
        <v>186</v>
      </c>
      <c r="F14" s="259" t="s">
        <v>245</v>
      </c>
      <c r="G14" s="259" t="s">
        <v>245</v>
      </c>
      <c r="H14" s="184"/>
      <c r="I14" s="261" t="s">
        <v>245</v>
      </c>
      <c r="J14" s="241"/>
      <c r="K14" s="241"/>
      <c r="L14" s="241"/>
      <c r="M14" s="241"/>
      <c r="N14" s="241"/>
      <c r="O14" s="241"/>
    </row>
    <row r="15">
      <c r="A15" s="258" t="s">
        <v>249</v>
      </c>
      <c r="B15" s="259" t="s">
        <v>253</v>
      </c>
      <c r="C15" s="259" t="s">
        <v>20</v>
      </c>
      <c r="D15" s="259" t="s">
        <v>149</v>
      </c>
      <c r="E15" s="259" t="s">
        <v>186</v>
      </c>
      <c r="F15" s="259" t="s">
        <v>245</v>
      </c>
      <c r="G15" s="259" t="s">
        <v>245</v>
      </c>
      <c r="H15" s="184"/>
      <c r="I15" s="261" t="s">
        <v>245</v>
      </c>
      <c r="J15" s="241"/>
      <c r="K15" s="241"/>
      <c r="L15" s="241"/>
      <c r="M15" s="241"/>
      <c r="N15" s="241"/>
      <c r="O15" s="241"/>
    </row>
    <row r="16">
      <c r="A16" s="258" t="s">
        <v>249</v>
      </c>
      <c r="B16" s="259" t="s">
        <v>26</v>
      </c>
      <c r="C16" s="259" t="s">
        <v>245</v>
      </c>
      <c r="D16" s="262" t="s">
        <v>150</v>
      </c>
      <c r="E16" s="259" t="s">
        <v>186</v>
      </c>
      <c r="F16" s="259" t="s">
        <v>245</v>
      </c>
      <c r="G16" s="259" t="s">
        <v>245</v>
      </c>
      <c r="H16" s="185"/>
      <c r="I16" s="261" t="s">
        <v>245</v>
      </c>
      <c r="J16" s="241"/>
      <c r="K16" s="241"/>
      <c r="L16" s="241"/>
      <c r="M16" s="241"/>
      <c r="N16" s="241"/>
      <c r="O16" s="241"/>
    </row>
    <row r="17">
      <c r="A17" s="241"/>
      <c r="B17" s="241"/>
      <c r="C17" s="241"/>
      <c r="D17" s="241"/>
      <c r="E17" s="241"/>
      <c r="F17" s="241"/>
      <c r="G17" s="241"/>
      <c r="H17" s="241"/>
      <c r="I17" s="241"/>
      <c r="J17" s="241"/>
      <c r="K17" s="241"/>
      <c r="L17" s="241"/>
      <c r="M17" s="241"/>
      <c r="N17" s="241"/>
      <c r="O17" s="241"/>
    </row>
    <row r="18">
      <c r="A18" s="241"/>
      <c r="B18" s="241"/>
      <c r="C18" s="241"/>
      <c r="D18" s="241"/>
      <c r="E18" s="241"/>
      <c r="F18" s="241"/>
      <c r="G18" s="241"/>
      <c r="H18" s="241"/>
      <c r="I18" s="241"/>
      <c r="J18" s="241"/>
      <c r="K18" s="241"/>
      <c r="L18" s="241"/>
      <c r="M18" s="241"/>
      <c r="N18" s="241"/>
      <c r="O18" s="241"/>
    </row>
    <row r="19">
      <c r="A19" s="263" t="s">
        <v>59</v>
      </c>
      <c r="B19" s="77"/>
      <c r="C19" s="77"/>
      <c r="D19" s="77"/>
      <c r="E19" s="77"/>
      <c r="F19" s="78"/>
      <c r="G19" s="241"/>
      <c r="H19" s="241"/>
      <c r="I19" s="241"/>
      <c r="J19" s="241"/>
      <c r="K19" s="241"/>
      <c r="L19" s="241"/>
      <c r="M19" s="241"/>
      <c r="N19" s="241"/>
      <c r="O19" s="241"/>
    </row>
    <row r="20">
      <c r="A20" s="264" t="s">
        <v>0</v>
      </c>
      <c r="B20" s="256" t="s">
        <v>109</v>
      </c>
      <c r="C20" s="257" t="s">
        <v>152</v>
      </c>
      <c r="D20" s="257" t="s">
        <v>153</v>
      </c>
      <c r="E20" s="257" t="s">
        <v>154</v>
      </c>
      <c r="F20" s="265" t="s">
        <v>155</v>
      </c>
      <c r="G20" s="241"/>
      <c r="H20" s="241"/>
      <c r="I20" s="241"/>
      <c r="J20" s="241"/>
      <c r="K20" s="241"/>
      <c r="L20" s="241"/>
      <c r="M20" s="241"/>
      <c r="N20" s="241"/>
      <c r="O20" s="241"/>
    </row>
    <row r="21" ht="15.75" customHeight="1">
      <c r="A21" s="266" t="s">
        <v>241</v>
      </c>
      <c r="B21" s="259" t="s">
        <v>254</v>
      </c>
      <c r="C21" s="259">
        <v>36.37</v>
      </c>
      <c r="D21" s="259">
        <v>35.53</v>
      </c>
      <c r="E21" s="267" t="s">
        <v>255</v>
      </c>
      <c r="F21" s="268" t="s">
        <v>157</v>
      </c>
      <c r="G21" s="241"/>
      <c r="H21" s="241"/>
      <c r="I21" s="241"/>
      <c r="J21" s="241"/>
      <c r="K21" s="241"/>
      <c r="L21" s="241"/>
      <c r="M21" s="241"/>
      <c r="N21" s="241"/>
      <c r="O21" s="241"/>
    </row>
    <row r="22" ht="15.75" customHeight="1">
      <c r="A22" s="266" t="s">
        <v>243</v>
      </c>
      <c r="B22" s="259" t="s">
        <v>254</v>
      </c>
      <c r="C22" s="259">
        <v>37.85</v>
      </c>
      <c r="D22" s="259">
        <v>38.22</v>
      </c>
      <c r="E22" s="267" t="s">
        <v>255</v>
      </c>
      <c r="F22" s="268" t="s">
        <v>157</v>
      </c>
      <c r="G22" s="241"/>
      <c r="H22" s="241"/>
      <c r="I22" s="241"/>
      <c r="J22" s="241"/>
      <c r="K22" s="241"/>
      <c r="L22" s="241"/>
      <c r="M22" s="241"/>
      <c r="N22" s="241"/>
      <c r="O22" s="241"/>
    </row>
    <row r="23" ht="15.75" customHeight="1">
      <c r="A23" s="258" t="s">
        <v>250</v>
      </c>
      <c r="B23" s="259" t="s">
        <v>254</v>
      </c>
      <c r="C23" s="259">
        <v>35.09</v>
      </c>
      <c r="D23" s="259">
        <v>35.46</v>
      </c>
      <c r="E23" s="259">
        <v>37.05</v>
      </c>
      <c r="F23" s="268" t="s">
        <v>157</v>
      </c>
      <c r="G23" s="241"/>
      <c r="H23" s="241"/>
      <c r="I23" s="241"/>
      <c r="J23" s="241"/>
      <c r="K23" s="241"/>
      <c r="L23" s="241"/>
      <c r="M23" s="241"/>
      <c r="N23" s="241"/>
      <c r="O23" s="241"/>
    </row>
    <row r="24" ht="15.75" customHeight="1">
      <c r="A24" s="258" t="s">
        <v>252</v>
      </c>
      <c r="B24" s="259" t="s">
        <v>254</v>
      </c>
      <c r="C24" s="259">
        <v>35.92</v>
      </c>
      <c r="D24" s="259">
        <v>35.26</v>
      </c>
      <c r="E24" s="259">
        <v>35.5</v>
      </c>
      <c r="F24" s="268" t="s">
        <v>157</v>
      </c>
      <c r="G24" s="241"/>
      <c r="H24" s="241"/>
      <c r="I24" s="241"/>
      <c r="J24" s="241"/>
      <c r="K24" s="241"/>
      <c r="L24" s="241"/>
      <c r="M24" s="241"/>
      <c r="N24" s="241"/>
      <c r="O24" s="241"/>
    </row>
    <row r="25" ht="15.75" customHeight="1">
      <c r="A25" s="258" t="s">
        <v>253</v>
      </c>
      <c r="B25" s="259" t="s">
        <v>254</v>
      </c>
      <c r="C25" s="259" t="s">
        <v>91</v>
      </c>
      <c r="D25" s="259" t="s">
        <v>91</v>
      </c>
      <c r="E25" s="267" t="s">
        <v>255</v>
      </c>
      <c r="F25" s="268" t="s">
        <v>157</v>
      </c>
      <c r="G25" s="241"/>
      <c r="H25" s="241"/>
      <c r="I25" s="241"/>
      <c r="J25" s="241"/>
      <c r="K25" s="241"/>
      <c r="L25" s="241"/>
      <c r="M25" s="241"/>
      <c r="N25" s="241"/>
      <c r="O25" s="241"/>
    </row>
    <row r="26" ht="15.75" customHeight="1">
      <c r="A26" s="258" t="s">
        <v>26</v>
      </c>
      <c r="B26" s="259" t="s">
        <v>254</v>
      </c>
      <c r="C26" s="259" t="s">
        <v>91</v>
      </c>
      <c r="D26" s="259" t="s">
        <v>91</v>
      </c>
      <c r="E26" s="267" t="s">
        <v>255</v>
      </c>
      <c r="F26" s="268" t="s">
        <v>157</v>
      </c>
      <c r="G26" s="241"/>
      <c r="H26" s="241"/>
      <c r="I26" s="241"/>
      <c r="J26" s="241"/>
      <c r="K26" s="241"/>
      <c r="L26" s="241"/>
      <c r="M26" s="241"/>
      <c r="N26" s="241"/>
      <c r="O26" s="241"/>
    </row>
    <row r="27" ht="15.75" customHeight="1">
      <c r="A27" s="269" t="s">
        <v>163</v>
      </c>
      <c r="B27" s="270" t="s">
        <v>254</v>
      </c>
      <c r="C27" s="270" t="s">
        <v>91</v>
      </c>
      <c r="D27" s="270" t="s">
        <v>91</v>
      </c>
      <c r="E27" s="271" t="s">
        <v>255</v>
      </c>
      <c r="F27" s="272" t="s">
        <v>157</v>
      </c>
      <c r="G27" s="241"/>
      <c r="H27" s="241"/>
      <c r="I27" s="241"/>
      <c r="J27" s="241"/>
      <c r="K27" s="241"/>
      <c r="L27" s="241"/>
      <c r="M27" s="241"/>
      <c r="N27" s="241"/>
      <c r="O27" s="241"/>
    </row>
    <row r="28" ht="15.75" customHeight="1">
      <c r="A28" s="241"/>
      <c r="B28" s="241"/>
      <c r="C28" s="241"/>
      <c r="D28" s="241"/>
      <c r="E28" s="241"/>
      <c r="F28" s="241"/>
      <c r="G28" s="241"/>
      <c r="H28" s="241"/>
      <c r="I28" s="241"/>
      <c r="J28" s="241"/>
      <c r="K28" s="241"/>
      <c r="L28" s="241"/>
      <c r="M28" s="241"/>
      <c r="N28" s="241"/>
      <c r="O28" s="241"/>
    </row>
    <row r="29" ht="15.75" customHeight="1">
      <c r="A29" s="241"/>
      <c r="B29" s="241"/>
      <c r="C29" s="241"/>
      <c r="D29" s="241"/>
      <c r="E29" s="241"/>
      <c r="F29" s="241"/>
      <c r="G29" s="241"/>
      <c r="H29" s="241"/>
      <c r="I29" s="241"/>
      <c r="J29" s="241"/>
      <c r="K29" s="241"/>
      <c r="L29" s="241"/>
      <c r="M29" s="241"/>
      <c r="N29" s="241"/>
      <c r="O29" s="241"/>
    </row>
    <row r="30" ht="15.75" customHeight="1">
      <c r="A30" s="241"/>
      <c r="B30" s="241"/>
      <c r="C30" s="241"/>
      <c r="D30" s="241"/>
      <c r="E30" s="241"/>
      <c r="F30" s="241"/>
      <c r="G30" s="241"/>
      <c r="H30" s="241"/>
      <c r="I30" s="241"/>
      <c r="J30" s="241"/>
      <c r="K30" s="241"/>
      <c r="L30" s="241"/>
      <c r="M30" s="241"/>
      <c r="N30" s="241"/>
      <c r="O30" s="241"/>
    </row>
    <row r="31" ht="15.75" customHeight="1">
      <c r="A31" s="241"/>
      <c r="B31" s="241"/>
      <c r="C31" s="241"/>
      <c r="D31" s="241"/>
      <c r="E31" s="241"/>
      <c r="F31" s="241"/>
      <c r="G31" s="241"/>
      <c r="H31" s="241"/>
      <c r="I31" s="241"/>
      <c r="J31" s="241"/>
      <c r="K31" s="241"/>
      <c r="L31" s="241"/>
      <c r="M31" s="241"/>
      <c r="N31" s="241"/>
      <c r="O31" s="241"/>
    </row>
    <row r="32" ht="15.75" customHeight="1">
      <c r="A32" s="241"/>
      <c r="B32" s="241"/>
      <c r="C32" s="241"/>
      <c r="D32" s="263" t="s">
        <v>256</v>
      </c>
      <c r="E32" s="77"/>
      <c r="F32" s="77"/>
      <c r="G32" s="78"/>
      <c r="H32" s="274" t="s">
        <v>257</v>
      </c>
      <c r="I32" s="77"/>
      <c r="J32" s="77"/>
      <c r="K32" s="78"/>
      <c r="L32" s="274" t="s">
        <v>258</v>
      </c>
      <c r="M32" s="77"/>
      <c r="N32" s="77"/>
      <c r="O32" s="78"/>
    </row>
    <row r="33" ht="15.75" customHeight="1">
      <c r="A33" s="277" t="s">
        <v>0</v>
      </c>
      <c r="B33" s="278" t="s">
        <v>260</v>
      </c>
      <c r="C33" s="280" t="s">
        <v>109</v>
      </c>
      <c r="D33" s="282" t="s">
        <v>152</v>
      </c>
      <c r="E33" s="282" t="s">
        <v>153</v>
      </c>
      <c r="F33" s="282" t="s">
        <v>154</v>
      </c>
      <c r="G33" s="283" t="s">
        <v>123</v>
      </c>
      <c r="H33" s="282" t="s">
        <v>152</v>
      </c>
      <c r="I33" s="282" t="s">
        <v>153</v>
      </c>
      <c r="J33" s="282" t="s">
        <v>154</v>
      </c>
      <c r="K33" s="283" t="s">
        <v>123</v>
      </c>
      <c r="L33" s="282" t="s">
        <v>152</v>
      </c>
      <c r="M33" s="282" t="s">
        <v>153</v>
      </c>
      <c r="N33" s="282" t="s">
        <v>154</v>
      </c>
      <c r="O33" s="283" t="s">
        <v>123</v>
      </c>
    </row>
    <row r="34" ht="15.75" customHeight="1">
      <c r="A34" s="285" t="s">
        <v>241</v>
      </c>
      <c r="B34" s="241" t="s">
        <v>267</v>
      </c>
      <c r="C34" s="287" t="s">
        <v>254</v>
      </c>
      <c r="D34" s="241">
        <v>36.37</v>
      </c>
      <c r="E34" s="241">
        <v>35.53</v>
      </c>
      <c r="F34" s="290" t="s">
        <v>255</v>
      </c>
      <c r="G34" s="287">
        <v>35.95</v>
      </c>
      <c r="H34" s="241">
        <v>33.29</v>
      </c>
      <c r="I34" s="241">
        <v>33.37</v>
      </c>
      <c r="J34" s="290" t="s">
        <v>255</v>
      </c>
      <c r="K34" s="287">
        <v>33.33</v>
      </c>
      <c r="L34" s="241">
        <v>33.12</v>
      </c>
      <c r="M34" s="241">
        <v>33.56</v>
      </c>
      <c r="N34" s="290" t="s">
        <v>255</v>
      </c>
      <c r="O34" s="287">
        <v>33.34</v>
      </c>
    </row>
    <row r="35" ht="15.75" customHeight="1">
      <c r="A35" s="285" t="s">
        <v>243</v>
      </c>
      <c r="B35" s="241" t="s">
        <v>267</v>
      </c>
      <c r="C35" s="287" t="s">
        <v>254</v>
      </c>
      <c r="D35" s="241">
        <v>37.85</v>
      </c>
      <c r="E35" s="241">
        <v>38.22</v>
      </c>
      <c r="F35" s="290" t="s">
        <v>255</v>
      </c>
      <c r="G35" s="287">
        <v>38.04</v>
      </c>
      <c r="H35" s="241">
        <v>35.05</v>
      </c>
      <c r="I35" s="241">
        <v>36.53</v>
      </c>
      <c r="J35" s="241">
        <v>36.96</v>
      </c>
      <c r="K35" s="287">
        <v>36.18</v>
      </c>
      <c r="L35" s="241">
        <v>35.8</v>
      </c>
      <c r="M35" s="241">
        <v>36.51</v>
      </c>
      <c r="N35" s="241">
        <v>36.48</v>
      </c>
      <c r="O35" s="287">
        <v>36.26</v>
      </c>
    </row>
    <row r="36" ht="15.75" customHeight="1">
      <c r="A36" s="285" t="s">
        <v>250</v>
      </c>
      <c r="B36" s="241" t="s">
        <v>96</v>
      </c>
      <c r="C36" s="287" t="s">
        <v>254</v>
      </c>
      <c r="D36" s="241">
        <v>35.09</v>
      </c>
      <c r="E36" s="241">
        <v>35.46</v>
      </c>
      <c r="F36" s="241">
        <v>37.05</v>
      </c>
      <c r="G36" s="287">
        <v>35.87</v>
      </c>
      <c r="H36" s="241">
        <v>33.84</v>
      </c>
      <c r="I36" s="241">
        <v>33.57</v>
      </c>
      <c r="J36" s="241">
        <v>33.64</v>
      </c>
      <c r="K36" s="287">
        <v>33.68</v>
      </c>
      <c r="L36" s="241">
        <v>33.44</v>
      </c>
      <c r="M36" s="241">
        <v>34.0</v>
      </c>
      <c r="N36" s="241">
        <v>33.09</v>
      </c>
      <c r="O36" s="287">
        <v>33.51</v>
      </c>
    </row>
    <row r="37" ht="15.75" customHeight="1">
      <c r="A37" s="285" t="s">
        <v>252</v>
      </c>
      <c r="B37" s="241" t="s">
        <v>96</v>
      </c>
      <c r="C37" s="287" t="s">
        <v>254</v>
      </c>
      <c r="D37" s="241">
        <v>35.92</v>
      </c>
      <c r="E37" s="241">
        <v>35.26</v>
      </c>
      <c r="F37" s="241">
        <v>35.5</v>
      </c>
      <c r="G37" s="287">
        <v>35.56</v>
      </c>
      <c r="H37" s="241">
        <v>33.57</v>
      </c>
      <c r="I37" s="241">
        <v>32.82</v>
      </c>
      <c r="J37" s="241">
        <v>33.39</v>
      </c>
      <c r="K37" s="287">
        <v>33.26</v>
      </c>
      <c r="L37" s="241">
        <v>33.47</v>
      </c>
      <c r="M37" s="241">
        <v>33.13</v>
      </c>
      <c r="N37" s="241">
        <v>33.42</v>
      </c>
      <c r="O37" s="287">
        <v>33.34</v>
      </c>
    </row>
    <row r="38" ht="15.75" customHeight="1">
      <c r="A38" s="301" t="s">
        <v>253</v>
      </c>
      <c r="B38" s="252" t="s">
        <v>149</v>
      </c>
      <c r="C38" s="272" t="s">
        <v>254</v>
      </c>
      <c r="D38" s="252" t="s">
        <v>91</v>
      </c>
      <c r="E38" s="252" t="s">
        <v>91</v>
      </c>
      <c r="F38" s="304" t="s">
        <v>255</v>
      </c>
      <c r="G38" s="272" t="s">
        <v>91</v>
      </c>
      <c r="H38" s="252" t="s">
        <v>91</v>
      </c>
      <c r="I38" s="252" t="s">
        <v>91</v>
      </c>
      <c r="J38" s="252" t="s">
        <v>91</v>
      </c>
      <c r="K38" s="272" t="s">
        <v>91</v>
      </c>
      <c r="L38" s="252" t="s">
        <v>91</v>
      </c>
      <c r="M38" s="252" t="s">
        <v>91</v>
      </c>
      <c r="N38" s="252" t="s">
        <v>91</v>
      </c>
      <c r="O38" s="272" t="s">
        <v>91</v>
      </c>
    </row>
    <row r="39" ht="15.75" customHeight="1">
      <c r="A39" s="241"/>
      <c r="B39" s="241"/>
      <c r="C39" s="241"/>
      <c r="D39" s="241"/>
      <c r="E39" s="241"/>
      <c r="F39" s="241"/>
      <c r="G39" s="241"/>
      <c r="H39" s="241"/>
      <c r="I39" s="241"/>
      <c r="J39" s="241"/>
      <c r="K39" s="241"/>
      <c r="L39" s="241"/>
      <c r="M39" s="241"/>
      <c r="N39" s="241"/>
      <c r="O39" s="241"/>
    </row>
    <row r="40" ht="15.75" customHeight="1">
      <c r="A40" s="241"/>
      <c r="B40" s="241"/>
      <c r="C40" s="241"/>
      <c r="D40" s="241"/>
      <c r="E40" s="241"/>
      <c r="F40" s="241"/>
      <c r="G40" s="241"/>
      <c r="H40" s="241"/>
      <c r="I40" s="241"/>
      <c r="J40" s="241"/>
      <c r="K40" s="241"/>
      <c r="L40" s="241"/>
      <c r="M40" s="241"/>
      <c r="N40" s="241"/>
      <c r="O40" s="241"/>
    </row>
    <row r="41" ht="15.75" customHeight="1">
      <c r="A41" s="241"/>
      <c r="B41" s="241"/>
      <c r="C41" s="241"/>
      <c r="D41" s="241"/>
      <c r="E41" s="241"/>
      <c r="F41" s="241"/>
      <c r="G41" s="241"/>
      <c r="H41" s="241"/>
      <c r="I41" s="241"/>
      <c r="J41" s="241"/>
      <c r="K41" s="241"/>
      <c r="L41" s="241"/>
      <c r="M41" s="241"/>
      <c r="N41" s="241"/>
      <c r="O41" s="241"/>
    </row>
    <row r="42" ht="15.75" customHeight="1">
      <c r="A42" s="241"/>
      <c r="B42" s="241"/>
      <c r="C42" s="241"/>
      <c r="D42" s="241"/>
      <c r="E42" s="241"/>
      <c r="F42" s="241"/>
      <c r="G42" s="241"/>
      <c r="H42" s="241"/>
      <c r="I42" s="241"/>
      <c r="J42" s="241"/>
      <c r="K42" s="241"/>
      <c r="L42" s="241"/>
      <c r="M42" s="241"/>
      <c r="N42" s="241"/>
      <c r="O42" s="241"/>
    </row>
    <row r="43" ht="15.75" customHeight="1">
      <c r="A43" s="241"/>
      <c r="B43" s="241"/>
      <c r="C43" s="241"/>
      <c r="D43" s="241"/>
      <c r="E43" s="241"/>
      <c r="F43" s="241"/>
      <c r="G43" s="241"/>
      <c r="H43" s="241"/>
      <c r="I43" s="313" t="s">
        <v>274</v>
      </c>
      <c r="J43" s="177"/>
      <c r="K43" s="177"/>
      <c r="L43" s="241"/>
      <c r="M43" s="241"/>
      <c r="N43" s="241"/>
      <c r="O43" s="241"/>
    </row>
    <row r="44" ht="15.75" customHeight="1">
      <c r="A44" s="241"/>
      <c r="B44" s="241"/>
      <c r="C44" s="241"/>
      <c r="D44" s="241"/>
      <c r="E44" s="241"/>
      <c r="F44" s="241"/>
      <c r="G44" s="241"/>
      <c r="H44" s="242" t="s">
        <v>191</v>
      </c>
      <c r="I44" s="242" t="s">
        <v>276</v>
      </c>
      <c r="J44" s="243" t="s">
        <v>277</v>
      </c>
      <c r="K44" s="243" t="s">
        <v>278</v>
      </c>
      <c r="L44" s="241"/>
      <c r="M44" s="241"/>
      <c r="N44" s="241"/>
      <c r="O44" s="241"/>
    </row>
    <row r="45" ht="15.75" customHeight="1">
      <c r="A45" s="241"/>
      <c r="B45" s="241"/>
      <c r="C45" s="241"/>
      <c r="D45" s="241"/>
      <c r="E45" s="241"/>
      <c r="F45" s="241"/>
      <c r="G45" s="241"/>
      <c r="H45" s="241" t="s">
        <v>279</v>
      </c>
      <c r="I45" s="241">
        <v>35.71</v>
      </c>
      <c r="J45" s="241"/>
      <c r="K45" s="241"/>
      <c r="L45" s="241"/>
      <c r="M45" s="241"/>
      <c r="N45" s="241"/>
      <c r="O45" s="241"/>
    </row>
    <row r="46" ht="15.75" customHeight="1">
      <c r="A46" s="241"/>
      <c r="B46" s="241"/>
      <c r="C46" s="241"/>
      <c r="D46" s="241"/>
      <c r="E46" s="241"/>
      <c r="F46" s="241"/>
      <c r="G46" s="241"/>
      <c r="I46" s="241"/>
      <c r="J46" s="241">
        <v>32.89</v>
      </c>
      <c r="K46" s="241">
        <v>32.88</v>
      </c>
      <c r="L46" s="241"/>
      <c r="M46" s="241"/>
      <c r="N46" s="241"/>
      <c r="O46" s="241"/>
    </row>
    <row r="47" ht="15.75" customHeight="1">
      <c r="A47" s="241"/>
      <c r="B47" s="241"/>
      <c r="C47" s="241"/>
      <c r="D47" s="241"/>
      <c r="E47" s="241"/>
      <c r="F47" s="241"/>
      <c r="G47" s="241"/>
      <c r="H47" s="241" t="s">
        <v>281</v>
      </c>
      <c r="I47" s="241"/>
      <c r="J47" s="241">
        <v>32.94</v>
      </c>
      <c r="K47" s="241">
        <v>31.96</v>
      </c>
      <c r="L47" s="241"/>
      <c r="M47" s="241"/>
      <c r="N47" s="241"/>
      <c r="O47" s="241"/>
    </row>
    <row r="48" ht="15.75" customHeight="1">
      <c r="A48" s="241"/>
      <c r="B48" s="241"/>
      <c r="C48" s="241"/>
      <c r="D48" s="241"/>
      <c r="E48" s="241"/>
      <c r="F48" s="241"/>
      <c r="G48" s="241"/>
      <c r="H48" s="241" t="s">
        <v>283</v>
      </c>
      <c r="I48" s="241"/>
      <c r="J48" s="241">
        <v>33.71</v>
      </c>
      <c r="K48" s="241"/>
      <c r="L48" s="241"/>
      <c r="M48" s="241"/>
      <c r="N48" s="241"/>
      <c r="O48" s="241"/>
    </row>
    <row r="49" ht="15.75" customHeight="1">
      <c r="A49" s="241"/>
      <c r="B49" s="241"/>
      <c r="C49" s="241"/>
      <c r="D49" s="241"/>
      <c r="E49" s="241"/>
      <c r="F49" s="241"/>
      <c r="G49" s="241"/>
      <c r="H49" s="241" t="s">
        <v>285</v>
      </c>
      <c r="I49" s="241"/>
      <c r="J49" s="241"/>
      <c r="K49" s="241">
        <v>33.4</v>
      </c>
      <c r="L49" s="241"/>
      <c r="M49" s="241"/>
      <c r="N49" s="241"/>
      <c r="O49" s="241"/>
    </row>
    <row r="50" ht="15.75" customHeight="1">
      <c r="A50" s="241"/>
      <c r="B50" s="241"/>
      <c r="C50" s="241"/>
      <c r="D50" s="241"/>
      <c r="E50" s="241"/>
      <c r="F50" s="241"/>
      <c r="G50" s="241"/>
      <c r="H50" s="252" t="s">
        <v>287</v>
      </c>
      <c r="I50" s="252" t="s">
        <v>245</v>
      </c>
      <c r="J50" s="252">
        <v>33.37</v>
      </c>
      <c r="K50" s="325">
        <v>32.38</v>
      </c>
      <c r="L50" s="241"/>
      <c r="M50" s="241"/>
      <c r="N50" s="241"/>
      <c r="O50" s="241"/>
    </row>
    <row r="51" ht="15.75" customHeight="1">
      <c r="A51" s="241"/>
      <c r="B51" s="241"/>
      <c r="C51" s="327" t="s">
        <v>289</v>
      </c>
      <c r="D51" s="327" t="s">
        <v>291</v>
      </c>
      <c r="E51" s="327" t="s">
        <v>292</v>
      </c>
      <c r="F51" s="241"/>
      <c r="G51" s="241"/>
      <c r="H51" s="241"/>
      <c r="I51" s="241"/>
      <c r="J51" s="241"/>
      <c r="K51" s="241"/>
      <c r="L51" s="241"/>
      <c r="M51" s="241"/>
      <c r="N51" s="241"/>
      <c r="O51" s="241"/>
    </row>
    <row r="52" ht="15.75" customHeight="1">
      <c r="A52" s="241" t="s">
        <v>256</v>
      </c>
      <c r="B52" s="328" t="s">
        <v>279</v>
      </c>
      <c r="C52" s="241" t="s">
        <v>245</v>
      </c>
      <c r="D52" s="241"/>
      <c r="E52" s="241">
        <v>35.71</v>
      </c>
      <c r="F52" s="241"/>
      <c r="G52" s="241"/>
      <c r="H52" s="241"/>
      <c r="I52" s="241"/>
      <c r="J52" s="241"/>
      <c r="K52" s="241"/>
      <c r="L52" s="241"/>
      <c r="M52" s="241"/>
      <c r="N52" s="241"/>
      <c r="O52" s="241"/>
    </row>
    <row r="53" ht="15.75" customHeight="1">
      <c r="A53" s="241" t="s">
        <v>295</v>
      </c>
      <c r="B53" s="333"/>
      <c r="C53" s="241">
        <v>32.89</v>
      </c>
      <c r="D53" s="241">
        <v>32.88</v>
      </c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</row>
    <row r="54" ht="15.75" customHeight="1">
      <c r="B54" s="241" t="s">
        <v>281</v>
      </c>
      <c r="C54" s="337">
        <v>32.94</v>
      </c>
      <c r="D54" s="241">
        <v>31.96</v>
      </c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</row>
    <row r="55" ht="15.75" customHeight="1">
      <c r="B55" s="241" t="s">
        <v>283</v>
      </c>
      <c r="C55" s="337">
        <v>33.71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</row>
    <row r="56" ht="15.75" customHeight="1">
      <c r="B56" s="241" t="s">
        <v>285</v>
      </c>
      <c r="C56" s="337" t="s">
        <v>245</v>
      </c>
      <c r="D56" s="241">
        <v>33.4</v>
      </c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</row>
    <row r="57" ht="15.75" customHeight="1">
      <c r="B57" s="241" t="s">
        <v>287</v>
      </c>
      <c r="C57" s="337">
        <v>33.37</v>
      </c>
      <c r="D57" s="328">
        <v>32.38</v>
      </c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</row>
    <row r="58" ht="15.75" customHeight="1">
      <c r="A58" s="241"/>
      <c r="B58" s="241"/>
      <c r="C58" s="241"/>
      <c r="D58" s="241"/>
      <c r="E58" s="241"/>
      <c r="F58" s="241"/>
      <c r="G58" s="241"/>
      <c r="H58" s="241"/>
      <c r="I58" s="241"/>
      <c r="J58" s="241"/>
      <c r="K58" s="241"/>
      <c r="L58" s="241"/>
      <c r="M58" s="241"/>
      <c r="N58" s="241"/>
      <c r="O58" s="241"/>
    </row>
    <row r="59" ht="15.75" customHeight="1">
      <c r="A59" s="241"/>
      <c r="B59" s="241"/>
      <c r="C59" s="241"/>
      <c r="D59" s="241"/>
      <c r="E59" s="241"/>
      <c r="F59" s="241"/>
      <c r="G59" s="241"/>
      <c r="H59" s="241"/>
      <c r="I59" s="241"/>
      <c r="J59" s="241"/>
      <c r="K59" s="241"/>
      <c r="L59" s="241"/>
      <c r="M59" s="241"/>
      <c r="N59" s="241"/>
      <c r="O59" s="241"/>
    </row>
    <row r="60" ht="15.75" customHeight="1">
      <c r="A60" s="241"/>
      <c r="B60" s="241"/>
      <c r="C60" s="241"/>
      <c r="D60" s="241"/>
      <c r="E60" s="241"/>
      <c r="F60" s="241"/>
      <c r="G60" s="241"/>
      <c r="H60" s="241"/>
      <c r="I60" s="241"/>
      <c r="J60" s="241"/>
      <c r="K60" s="241"/>
      <c r="L60" s="241"/>
      <c r="M60" s="241"/>
      <c r="N60" s="241"/>
      <c r="O60" s="241"/>
    </row>
    <row r="61" ht="15.75" customHeight="1">
      <c r="A61" s="241"/>
      <c r="B61" s="241"/>
      <c r="C61" s="241"/>
      <c r="D61" s="241"/>
      <c r="E61" s="241"/>
      <c r="F61" s="241"/>
      <c r="G61" s="241"/>
      <c r="H61" s="241"/>
      <c r="I61" s="241"/>
      <c r="J61" s="241"/>
      <c r="K61" s="241"/>
      <c r="L61" s="241"/>
      <c r="M61" s="241"/>
      <c r="N61" s="241"/>
      <c r="O61" s="241"/>
    </row>
    <row r="62" ht="15.75" customHeight="1">
      <c r="A62" s="241"/>
      <c r="B62" s="241"/>
      <c r="C62" s="241"/>
      <c r="D62" s="241"/>
      <c r="E62" s="241"/>
      <c r="F62" s="241"/>
      <c r="G62" s="241"/>
      <c r="H62" s="241"/>
      <c r="I62" s="241"/>
      <c r="J62" s="241"/>
      <c r="K62" s="241"/>
      <c r="L62" s="241"/>
      <c r="M62" s="241"/>
      <c r="N62" s="241"/>
      <c r="O62" s="241"/>
    </row>
    <row r="63" ht="15.75" customHeight="1">
      <c r="A63" s="241"/>
      <c r="B63" s="241"/>
      <c r="C63" s="241"/>
      <c r="D63" s="241"/>
      <c r="E63" s="241"/>
      <c r="F63" s="241"/>
      <c r="G63" s="241"/>
      <c r="H63" s="241"/>
      <c r="I63" s="241"/>
      <c r="J63" s="241"/>
      <c r="K63" s="241"/>
      <c r="L63" s="241"/>
      <c r="M63" s="241"/>
      <c r="N63" s="241"/>
      <c r="O63" s="241"/>
    </row>
    <row r="64" ht="15.75" customHeight="1">
      <c r="A64" s="241"/>
      <c r="B64" s="241"/>
      <c r="C64" s="241"/>
      <c r="D64" s="241"/>
      <c r="E64" s="241"/>
      <c r="F64" s="241"/>
      <c r="G64" s="241"/>
      <c r="H64" s="241"/>
      <c r="I64" s="241"/>
      <c r="J64" s="241"/>
      <c r="K64" s="241"/>
      <c r="L64" s="241"/>
      <c r="M64" s="241"/>
      <c r="N64" s="241"/>
      <c r="O64" s="241"/>
    </row>
    <row r="65" ht="15.75" customHeight="1">
      <c r="A65" s="241"/>
      <c r="B65" s="241"/>
      <c r="C65" s="241"/>
      <c r="D65" s="241"/>
      <c r="E65" s="241"/>
      <c r="F65" s="241"/>
      <c r="G65" s="241"/>
      <c r="H65" s="241"/>
      <c r="I65" s="241"/>
      <c r="J65" s="241"/>
      <c r="K65" s="241"/>
      <c r="L65" s="241"/>
      <c r="M65" s="241"/>
      <c r="N65" s="241"/>
      <c r="O65" s="241"/>
    </row>
    <row r="66" ht="15.75" customHeight="1">
      <c r="A66" s="241"/>
      <c r="B66" s="241"/>
      <c r="C66" s="241"/>
      <c r="D66" s="241"/>
      <c r="E66" s="241"/>
      <c r="F66" s="241"/>
      <c r="G66" s="241"/>
      <c r="H66" s="241"/>
      <c r="I66" s="241"/>
      <c r="J66" s="241"/>
      <c r="K66" s="241"/>
      <c r="L66" s="241"/>
      <c r="M66" s="241"/>
      <c r="N66" s="241"/>
      <c r="O66" s="241"/>
    </row>
    <row r="67" ht="15.75" customHeight="1">
      <c r="A67" s="241"/>
      <c r="B67" s="241"/>
      <c r="C67" s="241"/>
      <c r="D67" s="241"/>
      <c r="E67" s="241"/>
      <c r="F67" s="241"/>
      <c r="G67" s="241"/>
      <c r="H67" s="241"/>
      <c r="I67" s="241"/>
      <c r="J67" s="241"/>
      <c r="K67" s="241"/>
      <c r="L67" s="241"/>
      <c r="M67" s="241"/>
      <c r="N67" s="241"/>
      <c r="O67" s="241"/>
    </row>
    <row r="68" ht="15.75" customHeight="1">
      <c r="A68" s="241"/>
      <c r="B68" s="241"/>
      <c r="C68" s="241"/>
      <c r="D68" s="241"/>
      <c r="E68" s="241"/>
      <c r="F68" s="241"/>
      <c r="G68" s="241"/>
      <c r="H68" s="241"/>
      <c r="I68" s="241"/>
      <c r="J68" s="241"/>
      <c r="K68" s="241"/>
      <c r="L68" s="241"/>
      <c r="M68" s="241"/>
      <c r="N68" s="241"/>
      <c r="O68" s="241"/>
    </row>
    <row r="69" ht="15.75" customHeight="1">
      <c r="A69" s="241"/>
      <c r="B69" s="241"/>
      <c r="C69" s="241"/>
      <c r="D69" s="241"/>
      <c r="E69" s="241"/>
      <c r="F69" s="241"/>
      <c r="G69" s="241"/>
      <c r="H69" s="241"/>
      <c r="I69" s="241"/>
      <c r="J69" s="241"/>
      <c r="K69" s="241"/>
      <c r="L69" s="241"/>
      <c r="M69" s="241"/>
      <c r="N69" s="241"/>
      <c r="O69" s="241"/>
    </row>
    <row r="70" ht="15.75" customHeight="1">
      <c r="A70" s="241"/>
      <c r="B70" s="241"/>
      <c r="C70" s="241"/>
      <c r="D70" s="241"/>
      <c r="E70" s="241"/>
      <c r="F70" s="241"/>
      <c r="G70" s="241"/>
      <c r="H70" s="241"/>
      <c r="I70" s="241"/>
      <c r="J70" s="241"/>
      <c r="K70" s="241"/>
      <c r="L70" s="241"/>
      <c r="M70" s="241"/>
      <c r="N70" s="241"/>
      <c r="O70" s="241"/>
    </row>
    <row r="71" ht="15.75" customHeight="1">
      <c r="A71" s="241"/>
      <c r="B71" s="241"/>
      <c r="C71" s="241"/>
      <c r="D71" s="241"/>
      <c r="E71" s="241"/>
      <c r="F71" s="241"/>
      <c r="G71" s="241"/>
      <c r="H71" s="241"/>
      <c r="I71" s="241"/>
      <c r="J71" s="241"/>
      <c r="K71" s="241"/>
      <c r="L71" s="241"/>
      <c r="M71" s="241"/>
      <c r="N71" s="241"/>
      <c r="O71" s="241"/>
    </row>
    <row r="72" ht="15.75" customHeight="1">
      <c r="A72" s="241"/>
      <c r="B72" s="241"/>
      <c r="C72" s="241"/>
      <c r="D72" s="241"/>
      <c r="E72" s="241"/>
      <c r="F72" s="241"/>
      <c r="G72" s="241"/>
      <c r="H72" s="241"/>
      <c r="I72" s="241"/>
      <c r="J72" s="241"/>
      <c r="K72" s="241"/>
      <c r="L72" s="241"/>
      <c r="M72" s="241"/>
      <c r="N72" s="241"/>
      <c r="O72" s="241"/>
    </row>
    <row r="73" ht="15.75" customHeight="1">
      <c r="A73" s="241"/>
      <c r="B73" s="241"/>
      <c r="C73" s="241"/>
      <c r="D73" s="241"/>
      <c r="E73" s="241"/>
      <c r="F73" s="241"/>
      <c r="G73" s="241"/>
      <c r="H73" s="241"/>
      <c r="I73" s="241"/>
      <c r="J73" s="241"/>
      <c r="K73" s="241"/>
      <c r="L73" s="241"/>
      <c r="M73" s="241"/>
      <c r="N73" s="241"/>
      <c r="O73" s="241"/>
    </row>
    <row r="74" ht="15.75" customHeight="1">
      <c r="A74" s="241"/>
      <c r="B74" s="241"/>
      <c r="C74" s="241"/>
      <c r="D74" s="241"/>
      <c r="E74" s="241"/>
      <c r="F74" s="241"/>
      <c r="G74" s="241"/>
      <c r="H74" s="241"/>
      <c r="I74" s="241"/>
      <c r="J74" s="241"/>
      <c r="K74" s="241"/>
      <c r="L74" s="241"/>
      <c r="M74" s="241"/>
      <c r="N74" s="241"/>
      <c r="O74" s="241"/>
    </row>
    <row r="75" ht="15.75" customHeight="1">
      <c r="A75" s="241"/>
      <c r="B75" s="241"/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</row>
    <row r="76" ht="15.75" customHeight="1">
      <c r="A76" s="241"/>
      <c r="B76" s="241"/>
      <c r="C76" s="241"/>
      <c r="D76" s="241"/>
      <c r="E76" s="241"/>
      <c r="F76" s="241"/>
      <c r="G76" s="241"/>
      <c r="H76" s="241"/>
      <c r="I76" s="241"/>
      <c r="J76" s="241"/>
      <c r="K76" s="241"/>
      <c r="L76" s="241"/>
      <c r="M76" s="241"/>
      <c r="N76" s="241"/>
      <c r="O76" s="241"/>
    </row>
    <row r="77" ht="15.75" customHeight="1">
      <c r="A77" s="241"/>
      <c r="B77" s="241"/>
      <c r="C77" s="241"/>
      <c r="D77" s="241"/>
      <c r="E77" s="241"/>
      <c r="F77" s="241"/>
      <c r="G77" s="241"/>
      <c r="H77" s="241"/>
      <c r="I77" s="241"/>
      <c r="J77" s="241"/>
      <c r="K77" s="241"/>
      <c r="L77" s="241"/>
      <c r="M77" s="241"/>
      <c r="N77" s="241"/>
      <c r="O77" s="241"/>
    </row>
    <row r="78" ht="15.75" customHeight="1">
      <c r="A78" s="241"/>
      <c r="B78" s="241"/>
      <c r="C78" s="241"/>
      <c r="D78" s="241"/>
      <c r="E78" s="241"/>
      <c r="F78" s="241"/>
      <c r="G78" s="241"/>
      <c r="H78" s="241"/>
      <c r="I78" s="241"/>
      <c r="J78" s="241"/>
      <c r="K78" s="241"/>
      <c r="L78" s="241"/>
      <c r="M78" s="241"/>
      <c r="N78" s="241"/>
      <c r="O78" s="241"/>
    </row>
    <row r="79" ht="15.75" customHeight="1">
      <c r="A79" s="241"/>
      <c r="B79" s="241"/>
      <c r="C79" s="241"/>
      <c r="D79" s="241"/>
      <c r="E79" s="241"/>
      <c r="F79" s="241"/>
      <c r="G79" s="241"/>
      <c r="H79" s="241"/>
      <c r="I79" s="241"/>
      <c r="J79" s="241"/>
      <c r="K79" s="241"/>
      <c r="L79" s="241"/>
      <c r="M79" s="241"/>
      <c r="N79" s="241"/>
      <c r="O79" s="241"/>
    </row>
    <row r="80" ht="15.75" customHeight="1">
      <c r="A80" s="241"/>
      <c r="B80" s="241"/>
      <c r="C80" s="241"/>
      <c r="D80" s="241"/>
      <c r="E80" s="241"/>
      <c r="F80" s="241"/>
      <c r="G80" s="241"/>
      <c r="H80" s="241"/>
      <c r="I80" s="241"/>
      <c r="J80" s="241"/>
      <c r="K80" s="241"/>
      <c r="L80" s="241"/>
      <c r="M80" s="241"/>
      <c r="N80" s="241"/>
      <c r="O80" s="241"/>
    </row>
    <row r="81" ht="15.75" customHeight="1">
      <c r="A81" s="241"/>
      <c r="B81" s="241"/>
      <c r="C81" s="241"/>
      <c r="D81" s="241"/>
      <c r="E81" s="241"/>
      <c r="F81" s="241"/>
      <c r="G81" s="241"/>
      <c r="H81" s="241"/>
      <c r="I81" s="241"/>
      <c r="J81" s="241"/>
      <c r="K81" s="241"/>
      <c r="L81" s="241"/>
      <c r="M81" s="241"/>
      <c r="N81" s="241"/>
      <c r="O81" s="241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I43:K43"/>
    <mergeCell ref="H45:H46"/>
    <mergeCell ref="B52:B53"/>
    <mergeCell ref="A53:A57"/>
    <mergeCell ref="A1:K1"/>
    <mergeCell ref="A11:I11"/>
    <mergeCell ref="H13:H16"/>
    <mergeCell ref="A19:F19"/>
    <mergeCell ref="D32:G32"/>
    <mergeCell ref="H32:K32"/>
    <mergeCell ref="L32:O3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0"/>
    <col customWidth="1" min="10" max="10" width="69.63"/>
  </cols>
  <sheetData>
    <row r="1">
      <c r="A1" s="273"/>
      <c r="B1" s="273"/>
      <c r="C1" s="273"/>
      <c r="D1" s="275" t="s">
        <v>207</v>
      </c>
      <c r="G1" s="276" t="s">
        <v>259</v>
      </c>
      <c r="J1" s="273"/>
    </row>
    <row r="2">
      <c r="A2" s="273"/>
      <c r="B2" s="275" t="s">
        <v>0</v>
      </c>
      <c r="C2" s="279" t="s">
        <v>261</v>
      </c>
      <c r="D2" s="279" t="s">
        <v>262</v>
      </c>
      <c r="E2" s="279" t="s">
        <v>263</v>
      </c>
      <c r="F2" s="279" t="s">
        <v>264</v>
      </c>
      <c r="G2" s="281" t="s">
        <v>262</v>
      </c>
      <c r="H2" s="279" t="s">
        <v>263</v>
      </c>
      <c r="I2" s="279" t="s">
        <v>264</v>
      </c>
      <c r="J2" s="279" t="s">
        <v>248</v>
      </c>
    </row>
    <row r="3">
      <c r="A3" s="284" t="s">
        <v>265</v>
      </c>
      <c r="B3" s="286" t="s">
        <v>266</v>
      </c>
      <c r="C3" s="288" t="s">
        <v>191</v>
      </c>
      <c r="D3" s="289"/>
      <c r="E3" s="289"/>
      <c r="F3" s="289"/>
      <c r="G3" s="291">
        <v>27.7</v>
      </c>
      <c r="H3" s="288">
        <v>27.6</v>
      </c>
      <c r="I3" s="292">
        <v>27.6</v>
      </c>
      <c r="J3" s="293"/>
    </row>
    <row r="4">
      <c r="A4" s="294"/>
      <c r="B4" s="295" t="s">
        <v>268</v>
      </c>
      <c r="C4" s="296" t="s">
        <v>186</v>
      </c>
      <c r="D4" s="296">
        <v>27.7</v>
      </c>
      <c r="E4" s="296">
        <v>27.5</v>
      </c>
      <c r="F4" s="296">
        <v>27.9</v>
      </c>
      <c r="G4" s="297">
        <v>27.8</v>
      </c>
      <c r="H4" s="296">
        <v>27.8</v>
      </c>
      <c r="I4" s="298">
        <v>27.9</v>
      </c>
      <c r="J4" s="299"/>
    </row>
    <row r="5">
      <c r="A5" s="294"/>
      <c r="B5" s="300" t="s">
        <v>269</v>
      </c>
      <c r="C5" s="302" t="s">
        <v>191</v>
      </c>
      <c r="D5" s="303"/>
      <c r="E5" s="303"/>
      <c r="F5" s="303"/>
      <c r="G5" s="305">
        <v>27.3</v>
      </c>
      <c r="H5" s="302">
        <v>27.4</v>
      </c>
      <c r="I5" s="306">
        <v>27.3</v>
      </c>
      <c r="J5" s="299"/>
    </row>
    <row r="6">
      <c r="A6" s="294"/>
      <c r="B6" s="295" t="s">
        <v>270</v>
      </c>
      <c r="C6" s="296" t="s">
        <v>186</v>
      </c>
      <c r="D6" s="296">
        <v>28.5</v>
      </c>
      <c r="E6" s="296" t="s">
        <v>271</v>
      </c>
      <c r="F6" s="296">
        <v>27.0</v>
      </c>
      <c r="G6" s="297">
        <v>27.2</v>
      </c>
      <c r="H6" s="296">
        <v>27.2</v>
      </c>
      <c r="I6" s="298">
        <v>27.2</v>
      </c>
      <c r="J6" s="307" t="s">
        <v>272</v>
      </c>
    </row>
    <row r="7">
      <c r="A7" s="294"/>
      <c r="B7" s="308" t="s">
        <v>273</v>
      </c>
      <c r="C7" s="309" t="s">
        <v>191</v>
      </c>
      <c r="D7" s="310"/>
      <c r="E7" s="310"/>
      <c r="F7" s="310"/>
      <c r="G7" s="311" t="s">
        <v>91</v>
      </c>
      <c r="H7" s="309" t="s">
        <v>91</v>
      </c>
      <c r="I7" s="312" t="s">
        <v>91</v>
      </c>
      <c r="J7" s="299"/>
    </row>
    <row r="8">
      <c r="A8" s="294"/>
      <c r="B8" s="314" t="s">
        <v>275</v>
      </c>
      <c r="C8" s="315" t="s">
        <v>186</v>
      </c>
      <c r="D8" s="315" t="s">
        <v>91</v>
      </c>
      <c r="E8" s="315" t="s">
        <v>91</v>
      </c>
      <c r="F8" s="315" t="s">
        <v>91</v>
      </c>
      <c r="G8" s="316" t="s">
        <v>91</v>
      </c>
      <c r="H8" s="315" t="s">
        <v>91</v>
      </c>
      <c r="I8" s="317" t="s">
        <v>91</v>
      </c>
      <c r="J8" s="299"/>
    </row>
    <row r="9">
      <c r="A9" s="294"/>
      <c r="B9" s="308" t="s">
        <v>161</v>
      </c>
      <c r="C9" s="309" t="s">
        <v>186</v>
      </c>
      <c r="D9" s="309" t="s">
        <v>91</v>
      </c>
      <c r="E9" s="309" t="s">
        <v>91</v>
      </c>
      <c r="F9" s="309" t="s">
        <v>91</v>
      </c>
      <c r="G9" s="318"/>
      <c r="H9" s="310"/>
      <c r="I9" s="319"/>
      <c r="J9" s="299"/>
    </row>
    <row r="10">
      <c r="A10" s="294"/>
      <c r="B10" s="320" t="s">
        <v>280</v>
      </c>
      <c r="C10" s="321" t="s">
        <v>191</v>
      </c>
      <c r="D10" s="322"/>
      <c r="E10" s="322"/>
      <c r="F10" s="322"/>
      <c r="G10" s="323" t="s">
        <v>91</v>
      </c>
      <c r="H10" s="321" t="s">
        <v>91</v>
      </c>
      <c r="I10" s="324" t="s">
        <v>91</v>
      </c>
      <c r="J10" s="299"/>
    </row>
    <row r="11">
      <c r="A11" s="294"/>
      <c r="B11" s="300" t="s">
        <v>282</v>
      </c>
      <c r="C11" s="302" t="s">
        <v>191</v>
      </c>
      <c r="D11" s="303"/>
      <c r="E11" s="303"/>
      <c r="F11" s="303"/>
      <c r="G11" s="305">
        <v>26.8</v>
      </c>
      <c r="H11" s="302">
        <v>26.8</v>
      </c>
      <c r="I11" s="306">
        <v>26.8</v>
      </c>
      <c r="J11" s="299"/>
    </row>
    <row r="12">
      <c r="A12" s="294"/>
      <c r="B12" s="295" t="s">
        <v>284</v>
      </c>
      <c r="C12" s="296" t="s">
        <v>186</v>
      </c>
      <c r="D12" s="296">
        <v>27.9</v>
      </c>
      <c r="E12" s="296">
        <v>27.9</v>
      </c>
      <c r="F12" s="296">
        <v>27.6</v>
      </c>
      <c r="G12" s="297">
        <v>27.1</v>
      </c>
      <c r="H12" s="296">
        <v>27.0</v>
      </c>
      <c r="I12" s="298">
        <v>27.0</v>
      </c>
      <c r="J12" s="299"/>
    </row>
    <row r="13">
      <c r="A13" s="294"/>
      <c r="B13" s="300" t="s">
        <v>286</v>
      </c>
      <c r="C13" s="302" t="s">
        <v>191</v>
      </c>
      <c r="D13" s="303"/>
      <c r="E13" s="303"/>
      <c r="F13" s="303"/>
      <c r="G13" s="305">
        <v>27.1</v>
      </c>
      <c r="H13" s="302">
        <v>27.1</v>
      </c>
      <c r="I13" s="306">
        <v>27.1</v>
      </c>
      <c r="J13" s="299"/>
    </row>
    <row r="14">
      <c r="A14" s="294"/>
      <c r="B14" s="295" t="s">
        <v>288</v>
      </c>
      <c r="C14" s="296" t="s">
        <v>186</v>
      </c>
      <c r="D14" s="296">
        <v>28.1</v>
      </c>
      <c r="E14" s="296">
        <v>28.5</v>
      </c>
      <c r="F14" s="296" t="s">
        <v>255</v>
      </c>
      <c r="G14" s="297">
        <v>29.1</v>
      </c>
      <c r="H14" s="296">
        <v>29.1</v>
      </c>
      <c r="I14" s="298">
        <v>29.0</v>
      </c>
      <c r="J14" s="326"/>
    </row>
    <row r="15">
      <c r="A15" s="294"/>
      <c r="B15" s="300" t="s">
        <v>290</v>
      </c>
      <c r="C15" s="302" t="s">
        <v>191</v>
      </c>
      <c r="D15" s="303"/>
      <c r="E15" s="303"/>
      <c r="F15" s="303"/>
      <c r="G15" s="305">
        <v>27.1</v>
      </c>
      <c r="H15" s="302">
        <v>27.0</v>
      </c>
      <c r="I15" s="306">
        <v>27.0</v>
      </c>
      <c r="J15" s="299"/>
    </row>
    <row r="16">
      <c r="A16" s="294"/>
      <c r="B16" s="295" t="s">
        <v>293</v>
      </c>
      <c r="C16" s="296" t="s">
        <v>186</v>
      </c>
      <c r="D16" s="296">
        <v>28.2</v>
      </c>
      <c r="E16" s="296">
        <v>28.2</v>
      </c>
      <c r="F16" s="296">
        <v>28.1</v>
      </c>
      <c r="G16" s="297">
        <v>27.2</v>
      </c>
      <c r="H16" s="296">
        <v>27.2</v>
      </c>
      <c r="I16" s="298">
        <v>27.3</v>
      </c>
      <c r="J16" s="299"/>
    </row>
    <row r="17">
      <c r="A17" s="294"/>
      <c r="B17" s="329" t="s">
        <v>294</v>
      </c>
      <c r="C17" s="330" t="s">
        <v>191</v>
      </c>
      <c r="D17" s="331"/>
      <c r="E17" s="331"/>
      <c r="F17" s="331"/>
      <c r="G17" s="332" t="s">
        <v>91</v>
      </c>
      <c r="H17" s="330" t="s">
        <v>91</v>
      </c>
      <c r="I17" s="334" t="s">
        <v>91</v>
      </c>
      <c r="J17" s="299"/>
    </row>
    <row r="18">
      <c r="A18" s="294"/>
      <c r="B18" s="335" t="s">
        <v>296</v>
      </c>
      <c r="C18" s="336" t="s">
        <v>186</v>
      </c>
      <c r="D18" s="336" t="s">
        <v>215</v>
      </c>
      <c r="E18" s="336" t="s">
        <v>215</v>
      </c>
      <c r="F18" s="336" t="s">
        <v>215</v>
      </c>
      <c r="G18" s="338">
        <v>27.4</v>
      </c>
      <c r="H18" s="336">
        <v>27.4</v>
      </c>
      <c r="I18" s="339">
        <v>27.4</v>
      </c>
      <c r="J18" s="340" t="s">
        <v>297</v>
      </c>
    </row>
    <row r="19">
      <c r="A19" s="294"/>
      <c r="B19" s="308" t="s">
        <v>161</v>
      </c>
      <c r="C19" s="309" t="s">
        <v>186</v>
      </c>
      <c r="D19" s="309" t="s">
        <v>91</v>
      </c>
      <c r="E19" s="309" t="s">
        <v>91</v>
      </c>
      <c r="F19" s="309" t="s">
        <v>91</v>
      </c>
      <c r="G19" s="318"/>
      <c r="H19" s="310"/>
      <c r="I19" s="319"/>
      <c r="J19" s="299"/>
    </row>
    <row r="20">
      <c r="A20" s="341"/>
      <c r="B20" s="320" t="s">
        <v>280</v>
      </c>
      <c r="C20" s="321" t="s">
        <v>191</v>
      </c>
      <c r="D20" s="322"/>
      <c r="E20" s="322"/>
      <c r="F20" s="322"/>
      <c r="G20" s="323" t="s">
        <v>91</v>
      </c>
      <c r="H20" s="321" t="s">
        <v>91</v>
      </c>
      <c r="I20" s="324" t="s">
        <v>91</v>
      </c>
      <c r="J20" s="299"/>
    </row>
    <row r="21">
      <c r="A21" s="342" t="s">
        <v>298</v>
      </c>
      <c r="B21" s="300" t="s">
        <v>299</v>
      </c>
      <c r="C21" s="302" t="s">
        <v>191</v>
      </c>
      <c r="D21" s="303"/>
      <c r="E21" s="303"/>
      <c r="F21" s="303"/>
      <c r="G21" s="305">
        <v>27.3</v>
      </c>
      <c r="H21" s="302">
        <v>27.4</v>
      </c>
      <c r="I21" s="306">
        <v>27.3</v>
      </c>
      <c r="J21" s="299"/>
    </row>
    <row r="22">
      <c r="A22" s="294"/>
      <c r="B22" s="295" t="s">
        <v>300</v>
      </c>
      <c r="C22" s="296" t="s">
        <v>186</v>
      </c>
      <c r="D22" s="296">
        <v>26.9</v>
      </c>
      <c r="E22" s="296">
        <v>26.6</v>
      </c>
      <c r="F22" s="296">
        <v>26.3</v>
      </c>
      <c r="G22" s="297">
        <v>27.0</v>
      </c>
      <c r="H22" s="296">
        <v>27.1</v>
      </c>
      <c r="I22" s="298">
        <v>27.0</v>
      </c>
      <c r="J22" s="299"/>
    </row>
    <row r="23">
      <c r="A23" s="294"/>
      <c r="B23" s="300" t="s">
        <v>301</v>
      </c>
      <c r="C23" s="302" t="s">
        <v>191</v>
      </c>
      <c r="D23" s="303"/>
      <c r="E23" s="303"/>
      <c r="F23" s="303"/>
      <c r="G23" s="305">
        <v>27.3</v>
      </c>
      <c r="H23" s="302">
        <v>27.4</v>
      </c>
      <c r="I23" s="306">
        <v>27.4</v>
      </c>
      <c r="J23" s="299"/>
    </row>
    <row r="24">
      <c r="A24" s="294"/>
      <c r="B24" s="295" t="s">
        <v>302</v>
      </c>
      <c r="C24" s="296" t="s">
        <v>186</v>
      </c>
      <c r="D24" s="296">
        <v>27.2</v>
      </c>
      <c r="E24" s="296">
        <v>26.4</v>
      </c>
      <c r="F24" s="296">
        <v>27.3</v>
      </c>
      <c r="G24" s="297">
        <v>27.6</v>
      </c>
      <c r="H24" s="296">
        <v>27.7</v>
      </c>
      <c r="I24" s="298">
        <v>27.6</v>
      </c>
      <c r="J24" s="299"/>
    </row>
    <row r="25">
      <c r="A25" s="294"/>
      <c r="B25" s="308" t="s">
        <v>303</v>
      </c>
      <c r="C25" s="309" t="s">
        <v>191</v>
      </c>
      <c r="D25" s="310"/>
      <c r="E25" s="310"/>
      <c r="F25" s="310"/>
      <c r="G25" s="311" t="s">
        <v>91</v>
      </c>
      <c r="H25" s="309" t="s">
        <v>91</v>
      </c>
      <c r="I25" s="312" t="s">
        <v>91</v>
      </c>
      <c r="J25" s="299"/>
    </row>
    <row r="26">
      <c r="A26" s="294"/>
      <c r="B26" s="314" t="s">
        <v>304</v>
      </c>
      <c r="C26" s="315" t="s">
        <v>186</v>
      </c>
      <c r="D26" s="315" t="s">
        <v>91</v>
      </c>
      <c r="E26" s="315" t="s">
        <v>91</v>
      </c>
      <c r="F26" s="315" t="s">
        <v>91</v>
      </c>
      <c r="G26" s="316" t="s">
        <v>91</v>
      </c>
      <c r="H26" s="315" t="s">
        <v>91</v>
      </c>
      <c r="I26" s="317" t="s">
        <v>91</v>
      </c>
      <c r="J26" s="299"/>
    </row>
    <row r="27">
      <c r="A27" s="294"/>
      <c r="B27" s="308" t="s">
        <v>161</v>
      </c>
      <c r="C27" s="309" t="s">
        <v>186</v>
      </c>
      <c r="D27" s="309" t="s">
        <v>91</v>
      </c>
      <c r="E27" s="309" t="s">
        <v>91</v>
      </c>
      <c r="F27" s="309" t="s">
        <v>91</v>
      </c>
      <c r="G27" s="318"/>
      <c r="H27" s="310"/>
      <c r="I27" s="319"/>
      <c r="J27" s="299"/>
    </row>
    <row r="28">
      <c r="A28" s="294"/>
      <c r="B28" s="320" t="s">
        <v>280</v>
      </c>
      <c r="C28" s="321" t="s">
        <v>191</v>
      </c>
      <c r="D28" s="322"/>
      <c r="E28" s="322"/>
      <c r="F28" s="322"/>
      <c r="G28" s="323" t="s">
        <v>91</v>
      </c>
      <c r="H28" s="321" t="s">
        <v>91</v>
      </c>
      <c r="I28" s="324" t="s">
        <v>91</v>
      </c>
      <c r="J28" s="299"/>
    </row>
    <row r="29">
      <c r="A29" s="294"/>
      <c r="B29" s="300" t="s">
        <v>305</v>
      </c>
      <c r="C29" s="302" t="s">
        <v>191</v>
      </c>
      <c r="D29" s="303"/>
      <c r="E29" s="303"/>
      <c r="F29" s="303"/>
      <c r="G29" s="305">
        <v>27.5</v>
      </c>
      <c r="H29" s="302">
        <v>27.5</v>
      </c>
      <c r="I29" s="306">
        <v>27.4</v>
      </c>
      <c r="J29" s="299"/>
    </row>
    <row r="30">
      <c r="A30" s="294"/>
      <c r="B30" s="295" t="s">
        <v>306</v>
      </c>
      <c r="C30" s="296" t="s">
        <v>186</v>
      </c>
      <c r="D30" s="296">
        <v>28.9</v>
      </c>
      <c r="E30" s="296">
        <v>29.0</v>
      </c>
      <c r="F30" s="296">
        <v>29.0</v>
      </c>
      <c r="G30" s="297">
        <v>27.9</v>
      </c>
      <c r="H30" s="296">
        <v>28.0</v>
      </c>
      <c r="I30" s="298">
        <v>27.9</v>
      </c>
      <c r="J30" s="299"/>
    </row>
    <row r="31">
      <c r="A31" s="294"/>
      <c r="B31" s="300" t="s">
        <v>307</v>
      </c>
      <c r="C31" s="302" t="s">
        <v>191</v>
      </c>
      <c r="D31" s="303"/>
      <c r="E31" s="303"/>
      <c r="F31" s="303"/>
      <c r="G31" s="305">
        <v>28.0</v>
      </c>
      <c r="H31" s="302">
        <v>28.1</v>
      </c>
      <c r="I31" s="306">
        <v>28.0</v>
      </c>
      <c r="J31" s="299"/>
    </row>
    <row r="32">
      <c r="A32" s="294"/>
      <c r="B32" s="295" t="s">
        <v>308</v>
      </c>
      <c r="C32" s="296" t="s">
        <v>186</v>
      </c>
      <c r="D32" s="296">
        <v>29.0</v>
      </c>
      <c r="E32" s="296">
        <v>29.0</v>
      </c>
      <c r="F32" s="296">
        <v>28.8</v>
      </c>
      <c r="G32" s="297">
        <v>28.0</v>
      </c>
      <c r="H32" s="296">
        <v>28.0</v>
      </c>
      <c r="I32" s="298">
        <v>28.0</v>
      </c>
      <c r="J32" s="299"/>
    </row>
    <row r="33">
      <c r="A33" s="294"/>
      <c r="B33" s="343" t="s">
        <v>309</v>
      </c>
      <c r="C33" s="344" t="s">
        <v>191</v>
      </c>
      <c r="D33" s="345"/>
      <c r="E33" s="345"/>
      <c r="F33" s="345"/>
      <c r="G33" s="346" t="s">
        <v>91</v>
      </c>
      <c r="H33" s="344">
        <v>38.4</v>
      </c>
      <c r="I33" s="347">
        <v>38.4</v>
      </c>
      <c r="J33" s="340" t="s">
        <v>310</v>
      </c>
    </row>
    <row r="34">
      <c r="A34" s="294"/>
      <c r="B34" s="314" t="s">
        <v>311</v>
      </c>
      <c r="C34" s="315" t="s">
        <v>186</v>
      </c>
      <c r="D34" s="315" t="s">
        <v>91</v>
      </c>
      <c r="E34" s="315" t="s">
        <v>91</v>
      </c>
      <c r="F34" s="315" t="s">
        <v>91</v>
      </c>
      <c r="G34" s="316" t="s">
        <v>91</v>
      </c>
      <c r="H34" s="315" t="s">
        <v>91</v>
      </c>
      <c r="I34" s="317" t="s">
        <v>91</v>
      </c>
      <c r="J34" s="299"/>
    </row>
    <row r="35">
      <c r="A35" s="294"/>
      <c r="B35" s="308" t="s">
        <v>161</v>
      </c>
      <c r="C35" s="309" t="s">
        <v>186</v>
      </c>
      <c r="D35" s="302" t="s">
        <v>91</v>
      </c>
      <c r="E35" s="302" t="s">
        <v>91</v>
      </c>
      <c r="F35" s="302" t="s">
        <v>91</v>
      </c>
      <c r="G35" s="318"/>
      <c r="H35" s="310"/>
      <c r="I35" s="319"/>
      <c r="J35" s="299"/>
    </row>
    <row r="36">
      <c r="A36" s="341"/>
      <c r="B36" s="320" t="s">
        <v>280</v>
      </c>
      <c r="C36" s="321" t="s">
        <v>191</v>
      </c>
      <c r="D36" s="322"/>
      <c r="E36" s="322"/>
      <c r="F36" s="322"/>
      <c r="G36" s="297" t="s">
        <v>91</v>
      </c>
      <c r="H36" s="296" t="s">
        <v>91</v>
      </c>
      <c r="I36" s="298" t="s">
        <v>91</v>
      </c>
      <c r="J36" s="299"/>
    </row>
    <row r="37">
      <c r="A37" s="342" t="s">
        <v>312</v>
      </c>
      <c r="B37" s="348" t="s">
        <v>313</v>
      </c>
      <c r="C37" s="302" t="s">
        <v>191</v>
      </c>
      <c r="D37" s="303"/>
      <c r="E37" s="303"/>
      <c r="F37" s="303"/>
      <c r="G37" s="305">
        <v>27.3</v>
      </c>
      <c r="H37" s="302">
        <v>27.2</v>
      </c>
      <c r="I37" s="306">
        <v>27.3</v>
      </c>
      <c r="J37" s="299"/>
    </row>
    <row r="38">
      <c r="A38" s="294"/>
      <c r="B38" s="349" t="s">
        <v>314</v>
      </c>
      <c r="C38" s="296" t="s">
        <v>186</v>
      </c>
      <c r="D38" s="296">
        <v>27.7</v>
      </c>
      <c r="E38" s="296">
        <v>27.5</v>
      </c>
      <c r="F38" s="296">
        <v>27.6</v>
      </c>
      <c r="G38" s="297">
        <v>27.6</v>
      </c>
      <c r="H38" s="296">
        <v>27.7</v>
      </c>
      <c r="I38" s="298">
        <v>27.7</v>
      </c>
      <c r="J38" s="299"/>
    </row>
    <row r="39">
      <c r="A39" s="294"/>
      <c r="B39" s="348" t="s">
        <v>315</v>
      </c>
      <c r="C39" s="302" t="s">
        <v>191</v>
      </c>
      <c r="D39" s="303"/>
      <c r="E39" s="303"/>
      <c r="F39" s="303"/>
      <c r="G39" s="305">
        <v>27.0</v>
      </c>
      <c r="H39" s="302">
        <v>27.1</v>
      </c>
      <c r="I39" s="306">
        <v>27.0</v>
      </c>
      <c r="J39" s="299"/>
    </row>
    <row r="40">
      <c r="A40" s="294"/>
      <c r="B40" s="349" t="s">
        <v>316</v>
      </c>
      <c r="C40" s="296" t="s">
        <v>186</v>
      </c>
      <c r="D40" s="296">
        <v>26.7</v>
      </c>
      <c r="E40" s="296">
        <v>27.0</v>
      </c>
      <c r="F40" s="296">
        <v>27.2</v>
      </c>
      <c r="G40" s="297">
        <v>27.1</v>
      </c>
      <c r="H40" s="296">
        <v>27.1</v>
      </c>
      <c r="I40" s="298">
        <v>27.2</v>
      </c>
      <c r="J40" s="299"/>
    </row>
    <row r="41">
      <c r="A41" s="294"/>
      <c r="B41" s="350" t="s">
        <v>317</v>
      </c>
      <c r="C41" s="309" t="s">
        <v>191</v>
      </c>
      <c r="D41" s="310"/>
      <c r="E41" s="310"/>
      <c r="F41" s="310"/>
      <c r="G41" s="311" t="s">
        <v>91</v>
      </c>
      <c r="H41" s="309" t="s">
        <v>91</v>
      </c>
      <c r="I41" s="312" t="s">
        <v>91</v>
      </c>
      <c r="J41" s="299"/>
    </row>
    <row r="42">
      <c r="A42" s="294"/>
      <c r="B42" s="351" t="s">
        <v>318</v>
      </c>
      <c r="C42" s="315" t="s">
        <v>186</v>
      </c>
      <c r="D42" s="315" t="s">
        <v>91</v>
      </c>
      <c r="E42" s="315" t="s">
        <v>91</v>
      </c>
      <c r="F42" s="315" t="s">
        <v>91</v>
      </c>
      <c r="G42" s="316" t="s">
        <v>91</v>
      </c>
      <c r="H42" s="315" t="s">
        <v>91</v>
      </c>
      <c r="I42" s="317" t="s">
        <v>91</v>
      </c>
      <c r="J42" s="299"/>
    </row>
    <row r="43">
      <c r="A43" s="294"/>
      <c r="B43" s="350" t="s">
        <v>161</v>
      </c>
      <c r="C43" s="309" t="s">
        <v>186</v>
      </c>
      <c r="D43" s="309" t="s">
        <v>91</v>
      </c>
      <c r="E43" s="309" t="s">
        <v>91</v>
      </c>
      <c r="F43" s="309" t="s">
        <v>91</v>
      </c>
      <c r="G43" s="318"/>
      <c r="H43" s="310"/>
      <c r="I43" s="319"/>
      <c r="J43" s="299"/>
    </row>
    <row r="44">
      <c r="A44" s="341"/>
      <c r="B44" s="320" t="s">
        <v>280</v>
      </c>
      <c r="C44" s="321" t="s">
        <v>191</v>
      </c>
      <c r="D44" s="322"/>
      <c r="E44" s="322"/>
      <c r="F44" s="322"/>
      <c r="G44" s="323" t="s">
        <v>91</v>
      </c>
      <c r="H44" s="321" t="s">
        <v>91</v>
      </c>
      <c r="I44" s="324" t="s">
        <v>91</v>
      </c>
      <c r="J44" s="299"/>
    </row>
    <row r="45">
      <c r="A45" s="342" t="s">
        <v>319</v>
      </c>
      <c r="B45" s="300" t="s">
        <v>320</v>
      </c>
      <c r="C45" s="302" t="s">
        <v>191</v>
      </c>
      <c r="D45" s="303"/>
      <c r="E45" s="303"/>
      <c r="F45" s="303"/>
      <c r="G45" s="305">
        <v>26.7</v>
      </c>
      <c r="H45" s="302">
        <v>26.6</v>
      </c>
      <c r="I45" s="306">
        <v>26.6</v>
      </c>
      <c r="J45" s="299"/>
    </row>
    <row r="46">
      <c r="A46" s="294"/>
      <c r="B46" s="295" t="s">
        <v>321</v>
      </c>
      <c r="C46" s="296" t="s">
        <v>186</v>
      </c>
      <c r="D46" s="296">
        <v>27.4</v>
      </c>
      <c r="E46" s="296">
        <v>27.7</v>
      </c>
      <c r="F46" s="296">
        <v>27.5</v>
      </c>
      <c r="G46" s="297">
        <v>26.6</v>
      </c>
      <c r="H46" s="296">
        <v>26.5</v>
      </c>
      <c r="I46" s="298">
        <v>26.6</v>
      </c>
      <c r="J46" s="299"/>
    </row>
    <row r="47">
      <c r="A47" s="294"/>
      <c r="B47" s="300" t="s">
        <v>322</v>
      </c>
      <c r="C47" s="302" t="s">
        <v>191</v>
      </c>
      <c r="D47" s="303"/>
      <c r="E47" s="303"/>
      <c r="F47" s="303"/>
      <c r="G47" s="305">
        <v>27.1</v>
      </c>
      <c r="H47" s="302">
        <v>27.0</v>
      </c>
      <c r="I47" s="306">
        <v>27.0</v>
      </c>
      <c r="J47" s="299"/>
    </row>
    <row r="48">
      <c r="A48" s="294"/>
      <c r="B48" s="295" t="s">
        <v>323</v>
      </c>
      <c r="C48" s="296" t="s">
        <v>186</v>
      </c>
      <c r="D48" s="296">
        <v>27.9</v>
      </c>
      <c r="E48" s="296">
        <v>27.7</v>
      </c>
      <c r="F48" s="296">
        <v>27.8</v>
      </c>
      <c r="G48" s="297">
        <v>26.7</v>
      </c>
      <c r="H48" s="296">
        <v>26.6</v>
      </c>
      <c r="I48" s="298">
        <v>26.7</v>
      </c>
      <c r="J48" s="299"/>
    </row>
    <row r="49">
      <c r="A49" s="294"/>
      <c r="B49" s="308" t="s">
        <v>324</v>
      </c>
      <c r="C49" s="309" t="s">
        <v>191</v>
      </c>
      <c r="D49" s="310"/>
      <c r="E49" s="310"/>
      <c r="F49" s="310"/>
      <c r="G49" s="311" t="s">
        <v>91</v>
      </c>
      <c r="H49" s="309" t="s">
        <v>91</v>
      </c>
      <c r="I49" s="312" t="s">
        <v>91</v>
      </c>
      <c r="J49" s="299"/>
    </row>
    <row r="50">
      <c r="A50" s="294"/>
      <c r="B50" s="314" t="s">
        <v>325</v>
      </c>
      <c r="C50" s="315" t="s">
        <v>186</v>
      </c>
      <c r="D50" s="315" t="s">
        <v>91</v>
      </c>
      <c r="E50" s="315" t="s">
        <v>91</v>
      </c>
      <c r="F50" s="315" t="s">
        <v>91</v>
      </c>
      <c r="G50" s="316" t="s">
        <v>91</v>
      </c>
      <c r="H50" s="315" t="s">
        <v>91</v>
      </c>
      <c r="I50" s="317" t="s">
        <v>91</v>
      </c>
      <c r="J50" s="299"/>
    </row>
    <row r="51">
      <c r="A51" s="294"/>
      <c r="B51" s="308" t="s">
        <v>161</v>
      </c>
      <c r="C51" s="309" t="s">
        <v>186</v>
      </c>
      <c r="D51" s="309" t="s">
        <v>91</v>
      </c>
      <c r="E51" s="309" t="s">
        <v>91</v>
      </c>
      <c r="F51" s="309" t="s">
        <v>91</v>
      </c>
      <c r="G51" s="318"/>
      <c r="H51" s="310"/>
      <c r="I51" s="319"/>
      <c r="J51" s="299"/>
    </row>
    <row r="52">
      <c r="A52" s="294"/>
      <c r="B52" s="320" t="s">
        <v>280</v>
      </c>
      <c r="C52" s="321" t="s">
        <v>191</v>
      </c>
      <c r="D52" s="322"/>
      <c r="E52" s="322"/>
      <c r="F52" s="322"/>
      <c r="G52" s="323" t="s">
        <v>91</v>
      </c>
      <c r="H52" s="321" t="s">
        <v>91</v>
      </c>
      <c r="I52" s="324" t="s">
        <v>91</v>
      </c>
      <c r="J52" s="299"/>
    </row>
    <row r="53">
      <c r="A53" s="294"/>
      <c r="B53" s="300" t="s">
        <v>326</v>
      </c>
      <c r="C53" s="302" t="s">
        <v>191</v>
      </c>
      <c r="D53" s="273"/>
      <c r="E53" s="273"/>
      <c r="F53" s="273"/>
      <c r="G53" s="305">
        <v>27.0</v>
      </c>
      <c r="H53" s="302">
        <v>26.9</v>
      </c>
      <c r="I53" s="306">
        <v>27.0</v>
      </c>
      <c r="J53" s="299"/>
    </row>
    <row r="54">
      <c r="A54" s="294"/>
      <c r="B54" s="295" t="s">
        <v>327</v>
      </c>
      <c r="C54" s="296" t="s">
        <v>186</v>
      </c>
      <c r="D54" s="296">
        <v>27.5</v>
      </c>
      <c r="E54" s="296">
        <v>27.4</v>
      </c>
      <c r="F54" s="296">
        <v>27.6</v>
      </c>
      <c r="G54" s="297">
        <v>26.4</v>
      </c>
      <c r="H54" s="296">
        <v>26.3</v>
      </c>
      <c r="I54" s="298">
        <v>26.3</v>
      </c>
      <c r="J54" s="299"/>
    </row>
    <row r="55">
      <c r="A55" s="294"/>
      <c r="B55" s="300" t="s">
        <v>328</v>
      </c>
      <c r="C55" s="302" t="s">
        <v>191</v>
      </c>
      <c r="D55" s="273"/>
      <c r="E55" s="273"/>
      <c r="F55" s="273"/>
      <c r="G55" s="305">
        <v>25.0</v>
      </c>
      <c r="H55" s="302">
        <v>24.8</v>
      </c>
      <c r="I55" s="306">
        <v>24.9</v>
      </c>
      <c r="J55" s="299"/>
    </row>
    <row r="56">
      <c r="A56" s="294"/>
      <c r="B56" s="295" t="s">
        <v>329</v>
      </c>
      <c r="C56" s="296" t="s">
        <v>186</v>
      </c>
      <c r="D56" s="296">
        <v>26.6</v>
      </c>
      <c r="E56" s="296">
        <v>26.3</v>
      </c>
      <c r="F56" s="296">
        <v>26.6</v>
      </c>
      <c r="G56" s="297">
        <v>25.9</v>
      </c>
      <c r="H56" s="296">
        <v>25.7</v>
      </c>
      <c r="I56" s="298">
        <v>25.7</v>
      </c>
      <c r="J56" s="299"/>
    </row>
    <row r="57">
      <c r="A57" s="294"/>
      <c r="B57" s="308" t="s">
        <v>330</v>
      </c>
      <c r="C57" s="309" t="s">
        <v>191</v>
      </c>
      <c r="D57" s="273"/>
      <c r="E57" s="273"/>
      <c r="F57" s="273"/>
      <c r="G57" s="311" t="s">
        <v>91</v>
      </c>
      <c r="H57" s="309" t="s">
        <v>91</v>
      </c>
      <c r="I57" s="312" t="s">
        <v>91</v>
      </c>
      <c r="J57" s="299"/>
    </row>
    <row r="58">
      <c r="A58" s="294"/>
      <c r="B58" s="314" t="s">
        <v>331</v>
      </c>
      <c r="C58" s="315" t="s">
        <v>186</v>
      </c>
      <c r="D58" s="314" t="s">
        <v>91</v>
      </c>
      <c r="E58" s="314" t="s">
        <v>91</v>
      </c>
      <c r="F58" s="352">
        <v>42.99</v>
      </c>
      <c r="G58" s="316">
        <v>39.3</v>
      </c>
      <c r="H58" s="315" t="s">
        <v>91</v>
      </c>
      <c r="I58" s="317">
        <v>39.9</v>
      </c>
      <c r="J58" s="299"/>
    </row>
    <row r="59">
      <c r="A59" s="294"/>
      <c r="B59" s="308" t="s">
        <v>161</v>
      </c>
      <c r="C59" s="309" t="s">
        <v>186</v>
      </c>
      <c r="D59" s="300" t="s">
        <v>91</v>
      </c>
      <c r="E59" s="300" t="s">
        <v>91</v>
      </c>
      <c r="F59" s="300" t="s">
        <v>91</v>
      </c>
      <c r="G59" s="311" t="s">
        <v>91</v>
      </c>
      <c r="H59" s="309" t="s">
        <v>91</v>
      </c>
      <c r="I59" s="312" t="s">
        <v>91</v>
      </c>
      <c r="J59" s="299"/>
    </row>
    <row r="60">
      <c r="A60" s="341"/>
      <c r="B60" s="320" t="s">
        <v>332</v>
      </c>
      <c r="C60" s="321" t="s">
        <v>191</v>
      </c>
      <c r="D60" s="353"/>
      <c r="E60" s="353"/>
      <c r="F60" s="353"/>
      <c r="G60" s="323" t="s">
        <v>91</v>
      </c>
      <c r="H60" s="321">
        <v>39.1</v>
      </c>
      <c r="I60" s="324" t="s">
        <v>91</v>
      </c>
      <c r="J60" s="354" t="s">
        <v>333</v>
      </c>
    </row>
    <row r="63">
      <c r="A63" s="161" t="s">
        <v>334</v>
      </c>
    </row>
    <row r="64">
      <c r="A64" s="273"/>
      <c r="B64" s="273"/>
      <c r="C64" s="355"/>
      <c r="D64" s="356" t="s">
        <v>335</v>
      </c>
      <c r="E64" s="177"/>
      <c r="F64" s="177"/>
      <c r="G64" s="177"/>
      <c r="H64" s="356" t="s">
        <v>336</v>
      </c>
      <c r="I64" s="177"/>
      <c r="J64" s="177"/>
      <c r="K64" s="177"/>
    </row>
    <row r="65">
      <c r="A65" s="275" t="s">
        <v>337</v>
      </c>
      <c r="B65" s="356" t="s">
        <v>0</v>
      </c>
      <c r="C65" s="275" t="s">
        <v>2</v>
      </c>
      <c r="D65" s="357" t="s">
        <v>262</v>
      </c>
      <c r="E65" s="279" t="s">
        <v>263</v>
      </c>
      <c r="F65" s="279" t="s">
        <v>264</v>
      </c>
      <c r="G65" s="279" t="s">
        <v>123</v>
      </c>
      <c r="H65" s="358" t="s">
        <v>262</v>
      </c>
      <c r="I65" s="359" t="s">
        <v>263</v>
      </c>
      <c r="J65" s="359" t="s">
        <v>264</v>
      </c>
      <c r="K65" s="360" t="s">
        <v>123</v>
      </c>
    </row>
    <row r="66">
      <c r="A66" s="361" t="s">
        <v>265</v>
      </c>
      <c r="B66" s="302" t="s">
        <v>338</v>
      </c>
      <c r="C66" s="292" t="s">
        <v>96</v>
      </c>
      <c r="D66" s="288">
        <v>27.7</v>
      </c>
      <c r="E66" s="288">
        <v>27.5</v>
      </c>
      <c r="F66" s="288">
        <v>27.9</v>
      </c>
      <c r="G66" s="288">
        <v>27.7</v>
      </c>
      <c r="H66" s="362">
        <v>27.7</v>
      </c>
      <c r="I66" s="302">
        <v>27.6</v>
      </c>
      <c r="J66" s="302">
        <v>27.6</v>
      </c>
      <c r="K66" s="306">
        <v>27.6</v>
      </c>
    </row>
    <row r="67">
      <c r="A67" s="294"/>
      <c r="B67" s="302" t="s">
        <v>339</v>
      </c>
      <c r="C67" s="306" t="s">
        <v>96</v>
      </c>
      <c r="D67" s="302">
        <v>28.5</v>
      </c>
      <c r="E67" s="302" t="s">
        <v>271</v>
      </c>
      <c r="F67" s="302">
        <v>27.0</v>
      </c>
      <c r="G67" s="302">
        <v>27.1</v>
      </c>
      <c r="H67" s="362">
        <v>27.3</v>
      </c>
      <c r="I67" s="302">
        <v>27.4</v>
      </c>
      <c r="J67" s="302">
        <v>27.3</v>
      </c>
      <c r="K67" s="306">
        <v>27.4</v>
      </c>
    </row>
    <row r="68">
      <c r="A68" s="294"/>
      <c r="B68" s="302" t="s">
        <v>340</v>
      </c>
      <c r="C68" s="306" t="s">
        <v>149</v>
      </c>
      <c r="D68" s="302" t="s">
        <v>91</v>
      </c>
      <c r="E68" s="302" t="s">
        <v>91</v>
      </c>
      <c r="F68" s="302" t="s">
        <v>91</v>
      </c>
      <c r="G68" s="302" t="s">
        <v>91</v>
      </c>
      <c r="H68" s="362" t="s">
        <v>91</v>
      </c>
      <c r="I68" s="302" t="s">
        <v>91</v>
      </c>
      <c r="J68" s="302" t="s">
        <v>91</v>
      </c>
      <c r="K68" s="306" t="s">
        <v>91</v>
      </c>
    </row>
    <row r="69">
      <c r="A69" s="294"/>
      <c r="B69" s="302" t="s">
        <v>341</v>
      </c>
      <c r="C69" s="306" t="s">
        <v>96</v>
      </c>
      <c r="D69" s="302">
        <v>27.9</v>
      </c>
      <c r="E69" s="302">
        <v>27.9</v>
      </c>
      <c r="F69" s="302">
        <v>27.6</v>
      </c>
      <c r="G69" s="302">
        <v>27.8</v>
      </c>
      <c r="H69" s="362">
        <v>26.8</v>
      </c>
      <c r="I69" s="302">
        <v>26.8</v>
      </c>
      <c r="J69" s="302">
        <v>26.8</v>
      </c>
      <c r="K69" s="306">
        <v>26.8</v>
      </c>
    </row>
    <row r="70">
      <c r="A70" s="294"/>
      <c r="B70" s="302" t="s">
        <v>342</v>
      </c>
      <c r="C70" s="306" t="s">
        <v>96</v>
      </c>
      <c r="D70" s="302">
        <v>28.1</v>
      </c>
      <c r="E70" s="302">
        <v>28.5</v>
      </c>
      <c r="F70" s="302" t="s">
        <v>255</v>
      </c>
      <c r="G70" s="302">
        <v>28.3</v>
      </c>
      <c r="H70" s="362">
        <v>27.1</v>
      </c>
      <c r="I70" s="302">
        <v>27.1</v>
      </c>
      <c r="J70" s="302">
        <v>27.1</v>
      </c>
      <c r="K70" s="306">
        <v>27.1</v>
      </c>
    </row>
    <row r="71">
      <c r="A71" s="294"/>
      <c r="B71" s="302" t="s">
        <v>343</v>
      </c>
      <c r="C71" s="306" t="s">
        <v>96</v>
      </c>
      <c r="D71" s="302">
        <v>28.2</v>
      </c>
      <c r="E71" s="302">
        <v>28.2</v>
      </c>
      <c r="F71" s="302">
        <v>28.1</v>
      </c>
      <c r="G71" s="302">
        <v>28.2</v>
      </c>
      <c r="H71" s="362">
        <v>27.1</v>
      </c>
      <c r="I71" s="302">
        <v>27.1</v>
      </c>
      <c r="J71" s="302">
        <v>27.0</v>
      </c>
      <c r="K71" s="306">
        <v>27.1</v>
      </c>
    </row>
    <row r="72">
      <c r="A72" s="341"/>
      <c r="B72" s="296" t="s">
        <v>344</v>
      </c>
      <c r="C72" s="298" t="s">
        <v>149</v>
      </c>
      <c r="D72" s="296">
        <v>27.4</v>
      </c>
      <c r="E72" s="296">
        <v>27.4</v>
      </c>
      <c r="F72" s="296">
        <v>27.4</v>
      </c>
      <c r="G72" s="296">
        <v>27.4</v>
      </c>
      <c r="H72" s="363" t="s">
        <v>91</v>
      </c>
      <c r="I72" s="296" t="s">
        <v>91</v>
      </c>
      <c r="J72" s="296" t="s">
        <v>91</v>
      </c>
      <c r="K72" s="298" t="s">
        <v>91</v>
      </c>
    </row>
    <row r="73">
      <c r="A73" s="342" t="s">
        <v>298</v>
      </c>
      <c r="B73" s="302" t="s">
        <v>345</v>
      </c>
      <c r="C73" s="306" t="s">
        <v>96</v>
      </c>
      <c r="D73" s="302">
        <v>28.9</v>
      </c>
      <c r="E73" s="302">
        <v>29.0</v>
      </c>
      <c r="F73" s="302">
        <v>29.0</v>
      </c>
      <c r="G73" s="302">
        <v>29.0</v>
      </c>
      <c r="H73" s="362">
        <v>27.5</v>
      </c>
      <c r="I73" s="302">
        <v>27.5</v>
      </c>
      <c r="J73" s="302">
        <v>27.4</v>
      </c>
      <c r="K73" s="306">
        <v>27.4</v>
      </c>
    </row>
    <row r="74">
      <c r="A74" s="294"/>
      <c r="B74" s="302" t="s">
        <v>346</v>
      </c>
      <c r="C74" s="306" t="s">
        <v>96</v>
      </c>
      <c r="D74" s="302">
        <v>29.0</v>
      </c>
      <c r="E74" s="302">
        <v>29.0</v>
      </c>
      <c r="F74" s="302">
        <v>28.8</v>
      </c>
      <c r="G74" s="302">
        <v>28.9</v>
      </c>
      <c r="H74" s="362">
        <v>28.0</v>
      </c>
      <c r="I74" s="302">
        <v>28.1</v>
      </c>
      <c r="J74" s="302">
        <v>28.0</v>
      </c>
      <c r="K74" s="306">
        <v>28.0</v>
      </c>
    </row>
    <row r="75">
      <c r="A75" s="294"/>
      <c r="B75" s="302" t="s">
        <v>347</v>
      </c>
      <c r="C75" s="306" t="s">
        <v>149</v>
      </c>
      <c r="D75" s="302" t="s">
        <v>91</v>
      </c>
      <c r="E75" s="302" t="s">
        <v>91</v>
      </c>
      <c r="F75" s="302" t="s">
        <v>91</v>
      </c>
      <c r="G75" s="302" t="s">
        <v>91</v>
      </c>
      <c r="H75" s="362" t="s">
        <v>91</v>
      </c>
      <c r="I75" s="302">
        <v>38.4</v>
      </c>
      <c r="J75" s="302">
        <v>38.4</v>
      </c>
      <c r="K75" s="306">
        <v>38.4</v>
      </c>
    </row>
    <row r="76">
      <c r="A76" s="294"/>
      <c r="B76" s="302" t="s">
        <v>348</v>
      </c>
      <c r="C76" s="306" t="s">
        <v>96</v>
      </c>
      <c r="D76" s="302">
        <v>26.9</v>
      </c>
      <c r="E76" s="302">
        <v>26.6</v>
      </c>
      <c r="F76" s="302">
        <v>26.3</v>
      </c>
      <c r="G76" s="302">
        <v>26.6</v>
      </c>
      <c r="H76" s="362">
        <v>27.3</v>
      </c>
      <c r="I76" s="302">
        <v>27.4</v>
      </c>
      <c r="J76" s="302">
        <v>27.3</v>
      </c>
      <c r="K76" s="306">
        <v>27.3</v>
      </c>
    </row>
    <row r="77">
      <c r="A77" s="294"/>
      <c r="B77" s="302" t="s">
        <v>349</v>
      </c>
      <c r="C77" s="306" t="s">
        <v>96</v>
      </c>
      <c r="D77" s="302">
        <v>27.2</v>
      </c>
      <c r="E77" s="302">
        <v>26.4</v>
      </c>
      <c r="F77" s="302">
        <v>27.3</v>
      </c>
      <c r="G77" s="302">
        <v>27.0</v>
      </c>
      <c r="H77" s="362">
        <v>27.3</v>
      </c>
      <c r="I77" s="302">
        <v>27.4</v>
      </c>
      <c r="J77" s="302">
        <v>27.4</v>
      </c>
      <c r="K77" s="306">
        <v>27.3</v>
      </c>
    </row>
    <row r="78">
      <c r="A78" s="341"/>
      <c r="B78" s="296" t="s">
        <v>350</v>
      </c>
      <c r="C78" s="298" t="s">
        <v>149</v>
      </c>
      <c r="D78" s="296" t="s">
        <v>91</v>
      </c>
      <c r="E78" s="296" t="s">
        <v>91</v>
      </c>
      <c r="F78" s="296" t="s">
        <v>91</v>
      </c>
      <c r="G78" s="296" t="s">
        <v>91</v>
      </c>
      <c r="H78" s="363" t="s">
        <v>91</v>
      </c>
      <c r="I78" s="296" t="s">
        <v>91</v>
      </c>
      <c r="J78" s="296" t="s">
        <v>91</v>
      </c>
      <c r="K78" s="298" t="s">
        <v>91</v>
      </c>
    </row>
    <row r="79">
      <c r="A79" s="342" t="s">
        <v>312</v>
      </c>
      <c r="B79" s="302" t="s">
        <v>351</v>
      </c>
      <c r="C79" s="306" t="s">
        <v>96</v>
      </c>
      <c r="D79" s="302">
        <v>27.7</v>
      </c>
      <c r="E79" s="302">
        <v>27.5</v>
      </c>
      <c r="F79" s="302">
        <v>27.6</v>
      </c>
      <c r="G79" s="302">
        <v>27.6</v>
      </c>
      <c r="H79" s="362">
        <v>27.3</v>
      </c>
      <c r="I79" s="302">
        <v>27.2</v>
      </c>
      <c r="J79" s="302">
        <v>27.3</v>
      </c>
      <c r="K79" s="306">
        <v>27.3</v>
      </c>
    </row>
    <row r="80">
      <c r="A80" s="294"/>
      <c r="B80" s="302" t="s">
        <v>352</v>
      </c>
      <c r="C80" s="306" t="s">
        <v>96</v>
      </c>
      <c r="D80" s="302">
        <v>26.7</v>
      </c>
      <c r="E80" s="302">
        <v>27.0</v>
      </c>
      <c r="F80" s="302">
        <v>27.2</v>
      </c>
      <c r="G80" s="302">
        <v>27.0</v>
      </c>
      <c r="H80" s="362">
        <v>27.0</v>
      </c>
      <c r="I80" s="302">
        <v>27.1</v>
      </c>
      <c r="J80" s="302">
        <v>27.0</v>
      </c>
      <c r="K80" s="306">
        <v>27.0</v>
      </c>
    </row>
    <row r="81">
      <c r="A81" s="341"/>
      <c r="B81" s="296" t="s">
        <v>353</v>
      </c>
      <c r="C81" s="298" t="s">
        <v>149</v>
      </c>
      <c r="D81" s="296" t="s">
        <v>91</v>
      </c>
      <c r="E81" s="296" t="s">
        <v>91</v>
      </c>
      <c r="F81" s="296" t="s">
        <v>91</v>
      </c>
      <c r="G81" s="296" t="s">
        <v>91</v>
      </c>
      <c r="H81" s="363" t="s">
        <v>91</v>
      </c>
      <c r="I81" s="296" t="s">
        <v>91</v>
      </c>
      <c r="J81" s="296" t="s">
        <v>91</v>
      </c>
      <c r="K81" s="298" t="s">
        <v>91</v>
      </c>
    </row>
    <row r="82">
      <c r="A82" s="342" t="s">
        <v>319</v>
      </c>
      <c r="B82" s="302" t="s">
        <v>354</v>
      </c>
      <c r="C82" s="306" t="s">
        <v>96</v>
      </c>
      <c r="D82" s="302">
        <v>27.5</v>
      </c>
      <c r="E82" s="302">
        <v>27.4</v>
      </c>
      <c r="F82" s="302">
        <v>27.6</v>
      </c>
      <c r="G82" s="302">
        <v>27.5</v>
      </c>
      <c r="H82" s="362">
        <v>27.0</v>
      </c>
      <c r="I82" s="302">
        <v>26.9</v>
      </c>
      <c r="J82" s="302">
        <v>27.0</v>
      </c>
      <c r="K82" s="306">
        <v>27.0</v>
      </c>
    </row>
    <row r="83">
      <c r="A83" s="294"/>
      <c r="B83" s="302" t="s">
        <v>355</v>
      </c>
      <c r="C83" s="306" t="s">
        <v>96</v>
      </c>
      <c r="D83" s="302">
        <v>26.6</v>
      </c>
      <c r="E83" s="302">
        <v>26.3</v>
      </c>
      <c r="F83" s="302">
        <v>26.6</v>
      </c>
      <c r="G83" s="302">
        <v>26.5</v>
      </c>
      <c r="H83" s="362">
        <v>25.0</v>
      </c>
      <c r="I83" s="302">
        <v>24.8</v>
      </c>
      <c r="J83" s="302">
        <v>24.9</v>
      </c>
      <c r="K83" s="306">
        <v>24.9</v>
      </c>
    </row>
    <row r="84">
      <c r="A84" s="294"/>
      <c r="B84" s="302" t="s">
        <v>356</v>
      </c>
      <c r="C84" s="306" t="s">
        <v>149</v>
      </c>
      <c r="D84" s="302" t="s">
        <v>91</v>
      </c>
      <c r="E84" s="302" t="s">
        <v>91</v>
      </c>
      <c r="F84" s="302">
        <v>42.99</v>
      </c>
      <c r="G84" s="302">
        <v>43.0</v>
      </c>
      <c r="H84" s="362">
        <v>39.3</v>
      </c>
      <c r="I84" s="302" t="s">
        <v>91</v>
      </c>
      <c r="J84" s="302">
        <v>39.9</v>
      </c>
      <c r="K84" s="306">
        <v>39.6</v>
      </c>
    </row>
    <row r="85">
      <c r="A85" s="294"/>
      <c r="B85" s="302" t="s">
        <v>357</v>
      </c>
      <c r="C85" s="306" t="s">
        <v>96</v>
      </c>
      <c r="D85" s="302">
        <v>27.4</v>
      </c>
      <c r="E85" s="302">
        <v>27.7</v>
      </c>
      <c r="F85" s="302">
        <v>27.5</v>
      </c>
      <c r="G85" s="302">
        <v>27.5</v>
      </c>
      <c r="H85" s="362">
        <v>26.7</v>
      </c>
      <c r="I85" s="302">
        <v>26.6</v>
      </c>
      <c r="J85" s="302">
        <v>26.6</v>
      </c>
      <c r="K85" s="306">
        <v>26.6</v>
      </c>
    </row>
    <row r="86">
      <c r="A86" s="294"/>
      <c r="B86" s="302" t="s">
        <v>358</v>
      </c>
      <c r="C86" s="306" t="s">
        <v>96</v>
      </c>
      <c r="D86" s="302">
        <v>27.9</v>
      </c>
      <c r="E86" s="302">
        <v>27.7</v>
      </c>
      <c r="F86" s="302">
        <v>27.8</v>
      </c>
      <c r="G86" s="302">
        <v>27.8</v>
      </c>
      <c r="H86" s="362">
        <v>27.1</v>
      </c>
      <c r="I86" s="302">
        <v>27.0</v>
      </c>
      <c r="J86" s="302">
        <v>27.0</v>
      </c>
      <c r="K86" s="306">
        <v>26.6</v>
      </c>
    </row>
    <row r="87">
      <c r="A87" s="341"/>
      <c r="B87" s="296" t="s">
        <v>359</v>
      </c>
      <c r="C87" s="298" t="s">
        <v>149</v>
      </c>
      <c r="D87" s="296" t="s">
        <v>91</v>
      </c>
      <c r="E87" s="296" t="s">
        <v>91</v>
      </c>
      <c r="F87" s="296" t="s">
        <v>91</v>
      </c>
      <c r="G87" s="296" t="s">
        <v>91</v>
      </c>
      <c r="H87" s="363" t="s">
        <v>91</v>
      </c>
      <c r="I87" s="296" t="s">
        <v>91</v>
      </c>
      <c r="J87" s="296" t="s">
        <v>91</v>
      </c>
      <c r="K87" s="298" t="s">
        <v>91</v>
      </c>
    </row>
    <row r="88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</row>
    <row r="89">
      <c r="A89" s="300" t="s">
        <v>360</v>
      </c>
      <c r="B89" s="273"/>
      <c r="C89" s="273"/>
      <c r="D89" s="273"/>
      <c r="E89" s="273"/>
      <c r="F89" s="273"/>
      <c r="G89" s="273"/>
      <c r="H89" s="273"/>
      <c r="I89" s="273"/>
      <c r="J89" s="273"/>
      <c r="K89" s="273"/>
    </row>
  </sheetData>
  <mergeCells count="12">
    <mergeCell ref="A45:A60"/>
    <mergeCell ref="A66:A72"/>
    <mergeCell ref="A73:A78"/>
    <mergeCell ref="A79:A81"/>
    <mergeCell ref="A82:A87"/>
    <mergeCell ref="D1:F1"/>
    <mergeCell ref="G1:I1"/>
    <mergeCell ref="A3:A20"/>
    <mergeCell ref="A21:A36"/>
    <mergeCell ref="A37:A44"/>
    <mergeCell ref="D64:G64"/>
    <mergeCell ref="H64:K6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2026-03-05T17:14:43Z</dcterms:created>
  <dc:creator>McBride, Meghan (DFO/MPO)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2026-03-05T17:45:22Z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ee37d14c-102c-4f74-8402-b75ea970a47f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  <property fmtid="{D5CDD505-2E9C-101B-9397-08002B2CF9AE}" pid="10" name="ContentTypeId">
    <vt:lpwstr>0x010100B077AF961EC15B4C9878FA2CB0E32A6A</vt:lpwstr>
  </property>
  <property fmtid="{D5CDD505-2E9C-101B-9397-08002B2CF9AE}" pid="11" name="MediaServiceImageTags">
    <vt:lpwstr/>
  </property>
</Properties>
</file>