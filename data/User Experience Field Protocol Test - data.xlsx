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hidePivotFieldList="1" defaultThemeVersion="166925"/>
  <mc:AlternateContent xmlns:mc="http://schemas.openxmlformats.org/markup-compatibility/2006">
    <mc:Choice Requires="x15">
      <x15ac:absPath xmlns:x15ac="http://schemas.microsoft.com/office/spreadsheetml/2010/11/ac" url="R:\Science\CESD\ABL\Project Files\AIS\APC0252\Experience Test\"/>
    </mc:Choice>
  </mc:AlternateContent>
  <xr:revisionPtr revIDLastSave="1" documentId="13_ncr:1_{7B3D5A12-3C91-4906-A56F-026CBAF7C843}" xr6:coauthVersionLast="47" xr6:coauthVersionMax="47" xr10:uidLastSave="{E31738F3-B083-4805-B86D-AFD1B062D2CB}"/>
  <bookViews>
    <workbookView xWindow="-120" yWindow="-120" windowWidth="29040" windowHeight="15720" tabRatio="816" firstSheet="9" activeTab="2" xr2:uid="{D88A640A-5C7A-4380-BE15-D00B9FCB363A}"/>
  </bookViews>
  <sheets>
    <sheet name="Lyla Blakeney" sheetId="4" r:id="rId1"/>
    <sheet name="Kira Krumhansl" sheetId="5" r:id="rId2"/>
    <sheet name="Nick Jeffery" sheetId="3" r:id="rId3"/>
    <sheet name="Claudio DiBacco" sheetId="7" r:id="rId4"/>
    <sheet name="Dave Keith" sheetId="2" r:id="rId5"/>
    <sheet name="Repeat Test - Dave Keith" sheetId="14" r:id="rId6"/>
    <sheet name="Evan Cronmiller" sheetId="1" r:id="rId7"/>
    <sheet name="Meghan McBride" sheetId="6" r:id="rId8"/>
    <sheet name="Summary " sheetId="13" r:id="rId9"/>
    <sheet name="Summary of Time" sheetId="10" r:id="rId10"/>
    <sheet name="Summary for presentation" sheetId="1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6" i="14" l="1"/>
  <c r="E67" i="14"/>
  <c r="E68" i="14"/>
  <c r="E69" i="14"/>
  <c r="I66" i="14"/>
  <c r="I67" i="14"/>
  <c r="I68" i="14"/>
  <c r="I69" i="14"/>
  <c r="J45" i="14"/>
  <c r="J46" i="14"/>
  <c r="J47" i="14"/>
  <c r="J44" i="14"/>
  <c r="F45" i="14"/>
  <c r="F46" i="14"/>
  <c r="F47" i="14"/>
  <c r="F44" i="14"/>
  <c r="K69" i="12"/>
  <c r="K83" i="12"/>
  <c r="G85" i="12"/>
  <c r="G69" i="12"/>
  <c r="F17" i="12"/>
</calcChain>
</file>

<file path=xl/sharedStrings.xml><?xml version="1.0" encoding="utf-8"?>
<sst xmlns="http://schemas.openxmlformats.org/spreadsheetml/2006/main" count="1804" uniqueCount="206">
  <si>
    <t xml:space="preserve">Extraction Form </t>
  </si>
  <si>
    <t>Site</t>
  </si>
  <si>
    <t>Sample ID</t>
  </si>
  <si>
    <t>Filter Half (A or B)</t>
  </si>
  <si>
    <t>Sample Type (e.g., Replicate, Field Blank or Extraction negative)</t>
  </si>
  <si>
    <t>Protocol Type: Field or Lab</t>
  </si>
  <si>
    <t>Extraction Date</t>
  </si>
  <si>
    <t>Personnel</t>
  </si>
  <si>
    <t>Weather Conditions (e.g., windy, sun, temperature, humidity, etc.)</t>
  </si>
  <si>
    <t>Notes</t>
  </si>
  <si>
    <t>Fish Lab Tank Room</t>
  </si>
  <si>
    <t>AIS-4480</t>
  </si>
  <si>
    <t>B</t>
  </si>
  <si>
    <t>Replicate</t>
  </si>
  <si>
    <t>Field</t>
  </si>
  <si>
    <t>Lyla Blakeney</t>
  </si>
  <si>
    <t>N/A</t>
  </si>
  <si>
    <t>AIS-4481</t>
  </si>
  <si>
    <t>AIS-4482</t>
  </si>
  <si>
    <t>AIS-4483</t>
  </si>
  <si>
    <t>Field Blank</t>
  </si>
  <si>
    <t>ENEG</t>
  </si>
  <si>
    <t>------</t>
  </si>
  <si>
    <t>Extraction Negative</t>
  </si>
  <si>
    <t>Experience Level: None</t>
  </si>
  <si>
    <t>Liberty 16</t>
  </si>
  <si>
    <t>Run Name: C. Intestinalis_2025-1-16_1610</t>
  </si>
  <si>
    <t>Target Assay Name</t>
  </si>
  <si>
    <t>Ct value  Replicate 1</t>
  </si>
  <si>
    <t>Ct value  Replicate 2</t>
  </si>
  <si>
    <t>Ct value  Replicate 3</t>
  </si>
  <si>
    <t>IPC Checked (Yes/No)</t>
  </si>
  <si>
    <t>Std 5</t>
  </si>
  <si>
    <t>C. intestinalis</t>
  </si>
  <si>
    <t>-----</t>
  </si>
  <si>
    <t>No</t>
  </si>
  <si>
    <t>Std 1</t>
  </si>
  <si>
    <t>AIS-4480B</t>
  </si>
  <si>
    <t>AIS-4481B</t>
  </si>
  <si>
    <t>25.8*</t>
  </si>
  <si>
    <t>For Ct value replicate 2 - I thought I saw Lyla put 3 uL of DNA twice and based on the Ct value this conclude that, that was the case.</t>
  </si>
  <si>
    <t>AIS-4483B (Field Blank)</t>
  </si>
  <si>
    <t>NA</t>
  </si>
  <si>
    <t>Field ENEG</t>
  </si>
  <si>
    <t>NTC</t>
  </si>
  <si>
    <t>QuantStudio 7 - Lab Verification</t>
  </si>
  <si>
    <t>Field or Lab Extraction</t>
  </si>
  <si>
    <t>DNA concentration (ng/uL)</t>
  </si>
  <si>
    <t>Std 4</t>
  </si>
  <si>
    <t>Std 3</t>
  </si>
  <si>
    <t>Std 2</t>
  </si>
  <si>
    <t>Std 0</t>
  </si>
  <si>
    <t>AIS-4480A</t>
  </si>
  <si>
    <t>Lab</t>
  </si>
  <si>
    <t>Yes</t>
  </si>
  <si>
    <t>T4</t>
  </si>
  <si>
    <t>AIS-4481A</t>
  </si>
  <si>
    <t>AIS-4483A (Field Blank)</t>
  </si>
  <si>
    <t>Lab ENEG - TUBE 936</t>
  </si>
  <si>
    <t>AIS-4484</t>
  </si>
  <si>
    <t>Kira Krumhansl</t>
  </si>
  <si>
    <t>AIS-4485</t>
  </si>
  <si>
    <t>AIS-4486</t>
  </si>
  <si>
    <t>AIS-4487</t>
  </si>
  <si>
    <t>Experience Level: Lab, but not molecular</t>
  </si>
  <si>
    <t>Run Name: C.Intestinalis_2025-01-20_1340</t>
  </si>
  <si>
    <r>
      <rPr>
        <b/>
        <sz val="11"/>
        <color theme="1"/>
        <rFont val="Calibri"/>
        <family val="2"/>
        <scheme val="minor"/>
      </rPr>
      <t>Notes on Test:</t>
    </r>
    <r>
      <rPr>
        <sz val="11"/>
        <color theme="1"/>
        <rFont val="Calibri"/>
        <family val="2"/>
        <scheme val="minor"/>
      </rPr>
      <t xml:space="preserve">
       • Kira was prepared. She watched the videos and read the protocol.
       • She required very little instruction and very organized.
       • For time
            o	~30 min to setup
            o	~2 hrs for extraction
            o	~30 min for qPCR prep
      • Ran the protocol and came back to review results</t>
    </r>
  </si>
  <si>
    <t>AIS-4484B</t>
  </si>
  <si>
    <t>AIS-4485B</t>
  </si>
  <si>
    <t>AIS-4487B (Field Blank)</t>
  </si>
  <si>
    <t>Field or Lab extraction</t>
  </si>
  <si>
    <t>AIS-4484A</t>
  </si>
  <si>
    <t>AIS-4485A</t>
  </si>
  <si>
    <t>AIS-4487A (Field Blank)</t>
  </si>
  <si>
    <t>AIS-4488</t>
  </si>
  <si>
    <t>Nick Jeffery</t>
  </si>
  <si>
    <t>AIS-4489</t>
  </si>
  <si>
    <t>After the incubation step, he noticed that he missed some filter in the sample tube. Therefore, he moved the liquid located on the bottom of the LB tube back into the basket and then grabbed a clean pair of tweezer and placed missing filter piece in the LB basket with the other piece of the filter and repeated the incubation step</t>
  </si>
  <si>
    <t>AIS-4490</t>
  </si>
  <si>
    <t>AIS-4491</t>
  </si>
  <si>
    <t>Experience Level: Molecular Lab but very RUSTY</t>
  </si>
  <si>
    <t>Notes on Test:
       • Nick was not prepared. He watched the prep video qPCR briefly.
       • He required some instruction mostly on the qPCR step but he wasn’t really reading the protocol but skimming.
       • He appeared to be in a bit of rush doing the whole procedure.
       • There was a slight mistake during the extraction step that was easily rectified. Just a piece of a filter sample did not get put into the LB basket. We had extra tweezer for him to use and he just moved the lysis form the bottom of the LB tube back into the basket   and added the missing filter into the basket. The tube was put back in the incubator for another 15 min. 
        • For time
             o ~30 min to setup
             o	~2.5 hrs for extraction
             o	~30 min for qPCR prep
       • Ran the protocol and then we had to get evacuated, so did not come back until 1.5 day later. No problems with the run.</t>
  </si>
  <si>
    <t>Run Name: C. Intestinalis_2025-01-22_1401</t>
  </si>
  <si>
    <t>AIS-4488B</t>
  </si>
  <si>
    <t>AIS-4489B</t>
  </si>
  <si>
    <t>AIS-4491B (Field Blank)</t>
  </si>
  <si>
    <t>AIS-4488A</t>
  </si>
  <si>
    <t>AIS-4489A</t>
  </si>
  <si>
    <t>AIS-4491A (Field Blank)</t>
  </si>
  <si>
    <t>Lab ENEG - TUBE XXX</t>
  </si>
  <si>
    <t>AIS-4476</t>
  </si>
  <si>
    <t>In-field</t>
  </si>
  <si>
    <t>Claudio DiBacco</t>
  </si>
  <si>
    <t>AIS-4477</t>
  </si>
  <si>
    <t>AIS-4478</t>
  </si>
  <si>
    <t>AIS-4479</t>
  </si>
  <si>
    <t>Run Name: C. Intestinalis_2025_01-27_1226</t>
  </si>
  <si>
    <r>
      <rPr>
        <b/>
        <sz val="11"/>
        <color theme="1"/>
        <rFont val="Calibri"/>
        <family val="2"/>
        <scheme val="minor"/>
      </rPr>
      <t>Notes on Test:</t>
    </r>
    <r>
      <rPr>
        <sz val="11"/>
        <color theme="1"/>
        <rFont val="Calibri"/>
        <family val="2"/>
        <scheme val="minor"/>
      </rPr>
      <t xml:space="preserve">
       • Claudio was prepared. He watched the videos and read the protocol.
       • He required very little instruction and very organized. He did use the yellow tube rack for the first bit of the protocol - clearly no contamination occured.
       • For time
            o	~20 min to setup
            o	~2 hrs 15 min for extraction
            o	~40 min for qPCR prep
      • Ran the protocol and came back to review results</t>
    </r>
  </si>
  <si>
    <t>AIS-4476B</t>
  </si>
  <si>
    <t>AIS-4477B</t>
  </si>
  <si>
    <t>AIS-4479B (Field Blank)</t>
  </si>
  <si>
    <t>AIS-4476A</t>
  </si>
  <si>
    <t>AIS-4477A</t>
  </si>
  <si>
    <t>AIS-4479A (Field Blank)</t>
  </si>
  <si>
    <t>AIS-4492</t>
  </si>
  <si>
    <t>Dave Keith</t>
  </si>
  <si>
    <t>AIS-4493</t>
  </si>
  <si>
    <t>AIS-4494</t>
  </si>
  <si>
    <t>AIS-4495</t>
  </si>
  <si>
    <r>
      <rPr>
        <b/>
        <sz val="11"/>
        <color theme="1"/>
        <rFont val="Calibri"/>
        <family val="2"/>
        <scheme val="minor"/>
      </rPr>
      <t>Notes on Test:</t>
    </r>
    <r>
      <rPr>
        <sz val="11"/>
        <color theme="1"/>
        <rFont val="Calibri"/>
        <family val="2"/>
        <scheme val="minor"/>
      </rPr>
      <t xml:space="preserve">
       • Dave was prepared. He watched the videos and read the protocol.
       • He required some instruction, especially for the qPCR step and the repeater part. Overall though for his first time ever he did great!
       • For time
            o	~20 min to setup
            o	~2 hrs 30 min for extraction
            o	~1 hr for qPCR prep
      • Ran the protocol and came back to review results</t>
    </r>
  </si>
  <si>
    <t>AIS-4492B</t>
  </si>
  <si>
    <t>AIS-4494B</t>
  </si>
  <si>
    <t>AIS-4493B*</t>
  </si>
  <si>
    <t xml:space="preserve">*Mistakenly grabbed the sample replicate and ran on the qPCR instead of the Field Blank. </t>
  </si>
  <si>
    <t>AIS-4492A</t>
  </si>
  <si>
    <t>AIS-4493A</t>
  </si>
  <si>
    <t>AIS-4493B</t>
  </si>
  <si>
    <t>AIS-4494A</t>
  </si>
  <si>
    <t>AIS-4495A (Field Blank)</t>
  </si>
  <si>
    <t>AIS-4495B (Field Blank)</t>
  </si>
  <si>
    <t>I need to have Dave repeat this in the lab</t>
  </si>
  <si>
    <t>AIS-4496</t>
  </si>
  <si>
    <t>AIS-4497</t>
  </si>
  <si>
    <t>AIS-4499</t>
  </si>
  <si>
    <t>Repeat Test is to assess the training process. As Dave seem to have contaminated his field blank and had trouble with the repeater, we would like to see if by repeating the process there is more understanding and improvement. Especially by applying the feedback on the protocol he offered during his first run.</t>
  </si>
  <si>
    <t>AIS-4496b</t>
  </si>
  <si>
    <t>AIS-4497b</t>
  </si>
  <si>
    <t>AIS-4499b</t>
  </si>
  <si>
    <t>AIS-4496a</t>
  </si>
  <si>
    <t>AIS-4497a</t>
  </si>
  <si>
    <t>AIS-4499a</t>
  </si>
  <si>
    <t>Lab ENEG - 937-ENEG-1</t>
  </si>
  <si>
    <t>Field Protocol</t>
  </si>
  <si>
    <t>Lab Verification</t>
  </si>
  <si>
    <t>Type</t>
  </si>
  <si>
    <t>CT Mean</t>
  </si>
  <si>
    <t>STD</t>
  </si>
  <si>
    <t>Sample</t>
  </si>
  <si>
    <t>----</t>
  </si>
  <si>
    <t>Lab ENEG</t>
  </si>
  <si>
    <t>AIS-4500</t>
  </si>
  <si>
    <t>Evan Cronmiller</t>
  </si>
  <si>
    <t>AIS-4501</t>
  </si>
  <si>
    <t>AIS-4502</t>
  </si>
  <si>
    <t>AIS-4503</t>
  </si>
  <si>
    <t>-------</t>
  </si>
  <si>
    <t>AIS-4500B</t>
  </si>
  <si>
    <t>AIS-4501B</t>
  </si>
  <si>
    <t>AIS-4503B (Field Blank)</t>
  </si>
  <si>
    <t>AIS-4500A</t>
  </si>
  <si>
    <t>AIS-4501A</t>
  </si>
  <si>
    <t>AIS-4503A (Field Blank)</t>
  </si>
  <si>
    <r>
      <t xml:space="preserve">Extraction Form - </t>
    </r>
    <r>
      <rPr>
        <b/>
        <sz val="11"/>
        <color rgb="FF000000"/>
        <rFont val="Calibri"/>
        <family val="2"/>
        <scheme val="minor"/>
      </rPr>
      <t>This is a test run using V2 of the field protocol utilizing syringes and a repeater pipette</t>
    </r>
  </si>
  <si>
    <t>In-field or Lab</t>
  </si>
  <si>
    <t>Lab 521</t>
  </si>
  <si>
    <t>AIS-4472</t>
  </si>
  <si>
    <t>Meghan McBride</t>
  </si>
  <si>
    <t>AIS-4473</t>
  </si>
  <si>
    <t>AIS-4474</t>
  </si>
  <si>
    <t>Put LB Tube 4474B in 4473B spot when removing from the centrifuge and used the syringe for 4473B to pu tin reagent 3. Realized this immediately afterwards, so got a new syringe to as 4473B moving forward. Potential conamination in only 4474B at that step.</t>
  </si>
  <si>
    <t>AIS-4475</t>
  </si>
  <si>
    <t>AIS-4472B</t>
  </si>
  <si>
    <t>AIS-4473B</t>
  </si>
  <si>
    <t>AIS-4475B (Field Blank)</t>
  </si>
  <si>
    <t>This was re-run by Evan to confirm Lab results and only 1 of 3 technical replicates had amplification value of 42.99</t>
  </si>
  <si>
    <t>Note: Started on the Liberty 16 at 4:55pm and the cycle time was 2 hr 5 min</t>
  </si>
  <si>
    <t>QuantStudio 7</t>
  </si>
  <si>
    <t>AIS-4472A</t>
  </si>
  <si>
    <t>AIS-4473A</t>
  </si>
  <si>
    <t>AIS-4474A</t>
  </si>
  <si>
    <t>AIS-4474B</t>
  </si>
  <si>
    <t>AIS-4475A (Field Blank)</t>
  </si>
  <si>
    <t>*Lab ENEG - TUBE926</t>
  </si>
  <si>
    <t>* Got mixed with the Field Blank, which apparently was contaminated anyways with some level of DNA based on the Field extraction.</t>
  </si>
  <si>
    <t>EC re-ran the qPCR to investigate sample AIS-4475B (Field Blank), because in the previous assays on 19-Nov-24 this sample showed two of three replications amplify with the Quantstudio, but no amplification using the Liberty16. Wanted to see if that amplification was real and repeatable and if there is a real difference between the Quantstudio and Liberty16. Wanted to include many more technical replicates of AIS-4475B, but no more DNA was available</t>
  </si>
  <si>
    <t xml:space="preserve">Results suggest that the amplification was real and this time was seen in the Liberty16. AIS-4475B has a very low level of C. intestinalis DNA present, right at the lower limit of detection. Previous work has already found that right near the LOD, the Liberty16 is slightly less sensitive than QuantStudio, so more replicates on Liberty16 are probably needed if trying to detect a couple copies of DNA (&lt; 10 copies per assay for C. intestinalis) </t>
  </si>
  <si>
    <t>Field - Liberty 16</t>
  </si>
  <si>
    <t>Lab Verification - QS7</t>
  </si>
  <si>
    <t>No Lab Experience</t>
  </si>
  <si>
    <t>Mistakenly grabbed the sample replicate and ran on the qPCR instead of the Field Blank in the Field</t>
  </si>
  <si>
    <t>Non-Molecular Lab Experience</t>
  </si>
  <si>
    <t>I dropped filter half A on the floor when I was trying to put it into the tube. This explains the contamination on this half of the filter.</t>
  </si>
  <si>
    <t>Previous Molecular Lab Experience</t>
  </si>
  <si>
    <t>Molecular Lab Experts</t>
  </si>
  <si>
    <t>Got mixed with the Field Blank, which apparently was contaminated with some level of DNA based on the Field extraction.</t>
  </si>
  <si>
    <t>User Experience</t>
  </si>
  <si>
    <t>Lab Setup</t>
  </si>
  <si>
    <t>Extraction Step</t>
  </si>
  <si>
    <t>qPCR Prep Step</t>
  </si>
  <si>
    <t>Total Hands on Time</t>
  </si>
  <si>
    <t>30 min</t>
  </si>
  <si>
    <t>2.5 hr</t>
  </si>
  <si>
    <t>1 hr</t>
  </si>
  <si>
    <t>4.0 hr</t>
  </si>
  <si>
    <t>No Lab Experience - Re-tested</t>
  </si>
  <si>
    <t>20 min</t>
  </si>
  <si>
    <t>2.0 hr</t>
  </si>
  <si>
    <t>35 min</t>
  </si>
  <si>
    <t>2.9 hr</t>
  </si>
  <si>
    <t>3.0 hr</t>
  </si>
  <si>
    <t>3.5 hr</t>
  </si>
  <si>
    <t>10 min</t>
  </si>
  <si>
    <t>2.7 hr</t>
  </si>
  <si>
    <t>* DNA added twice</t>
  </si>
  <si>
    <t>AIS-4495**</t>
  </si>
  <si>
    <t>AIS-4479***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</si>
</sst>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1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b/>
      <sz val="16"/>
      <color rgb="FF000000"/>
      <name val="Calibri"/>
      <family val="2"/>
      <scheme val="minor"/>
    </font>
    <font>
      <sz val="11"/>
      <color rgb="FF000000"/>
      <name val="Calibri"/>
      <family val="2"/>
      <scheme val="minor"/>
    </font>
    <font>
      <sz val="11"/>
      <name val="Calibri"/>
      <family val="2"/>
      <scheme val="minor"/>
    </font>
    <font>
      <sz val="11"/>
      <color rgb="FFFF000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s>
  <fills count="7">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s>
  <borders count="49">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thin">
        <color rgb="FFB2B2B2"/>
      </left>
      <right style="thin">
        <color rgb="FFB2B2B2"/>
      </right>
      <top/>
      <bottom/>
      <diagonal/>
    </border>
    <border>
      <left style="thin">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dashed">
        <color indexed="64"/>
      </left>
      <right/>
      <top/>
      <bottom style="medium">
        <color indexed="64"/>
      </bottom>
      <diagonal/>
    </border>
    <border>
      <left style="dashed">
        <color indexed="64"/>
      </left>
      <right/>
      <top/>
      <bottom/>
      <diagonal/>
    </border>
    <border>
      <left/>
      <right style="medium">
        <color indexed="64"/>
      </right>
      <top/>
      <bottom style="thin">
        <color indexed="64"/>
      </bottom>
      <diagonal/>
    </border>
    <border>
      <left style="dashed">
        <color indexed="64"/>
      </left>
      <right/>
      <top/>
      <bottom style="thin">
        <color indexed="64"/>
      </bottom>
      <diagonal/>
    </border>
    <border>
      <left style="dashed">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1" fillId="2" borderId="1" applyNumberFormat="0" applyFont="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0" applyNumberFormat="0" applyBorder="0" applyAlignment="0" applyProtection="0"/>
  </cellStyleXfs>
  <cellXfs count="262">
    <xf numFmtId="0" fontId="0" fillId="0" borderId="0" xfId="0"/>
    <xf numFmtId="0" fontId="3" fillId="0" borderId="2" xfId="0" applyFont="1" applyBorder="1" applyAlignment="1">
      <alignment horizontal="center" wrapText="1"/>
    </xf>
    <xf numFmtId="0" fontId="4" fillId="0" borderId="0" xfId="0" applyFont="1" applyAlignment="1">
      <alignment horizontal="center"/>
    </xf>
    <xf numFmtId="0" fontId="5" fillId="0" borderId="2" xfId="0" applyFont="1" applyBorder="1"/>
    <xf numFmtId="15" fontId="5" fillId="0" borderId="2" xfId="0" applyNumberFormat="1" applyFont="1" applyBorder="1"/>
    <xf numFmtId="0" fontId="5" fillId="0" borderId="2" xfId="0" applyFont="1" applyBorder="1" applyAlignment="1">
      <alignment wrapText="1"/>
    </xf>
    <xf numFmtId="0" fontId="3" fillId="0" borderId="10" xfId="0" applyFont="1" applyBorder="1"/>
    <xf numFmtId="0" fontId="3" fillId="0" borderId="11" xfId="0" applyFont="1" applyBorder="1" applyAlignment="1">
      <alignment horizontal="center" wrapText="1"/>
    </xf>
    <xf numFmtId="0" fontId="3" fillId="0" borderId="12" xfId="0" applyFont="1" applyBorder="1" applyAlignment="1">
      <alignment horizontal="center" wrapText="1"/>
    </xf>
    <xf numFmtId="0" fontId="5" fillId="0" borderId="13" xfId="0" applyFont="1" applyBorder="1"/>
    <xf numFmtId="0" fontId="5" fillId="0" borderId="2" xfId="0" applyFont="1" applyBorder="1" applyAlignment="1">
      <alignment horizontal="center"/>
    </xf>
    <xf numFmtId="0" fontId="5" fillId="0" borderId="2" xfId="0" quotePrefix="1" applyFont="1" applyBorder="1" applyAlignment="1">
      <alignment horizontal="center"/>
    </xf>
    <xf numFmtId="0" fontId="5" fillId="0" borderId="14" xfId="0" applyFont="1" applyBorder="1" applyAlignment="1">
      <alignment horizontal="center"/>
    </xf>
    <xf numFmtId="0" fontId="5" fillId="0" borderId="15" xfId="0" applyFont="1" applyBorder="1"/>
    <xf numFmtId="0" fontId="5" fillId="0" borderId="16" xfId="0" applyFont="1" applyBorder="1"/>
    <xf numFmtId="0" fontId="5" fillId="0" borderId="16" xfId="0" applyFont="1" applyBorder="1" applyAlignment="1">
      <alignment horizontal="center"/>
    </xf>
    <xf numFmtId="0" fontId="5" fillId="0" borderId="16" xfId="0" quotePrefix="1" applyFont="1" applyBorder="1" applyAlignment="1">
      <alignment horizontal="center"/>
    </xf>
    <xf numFmtId="0" fontId="5" fillId="0" borderId="17" xfId="0" applyFont="1" applyBorder="1" applyAlignment="1">
      <alignment horizontal="center"/>
    </xf>
    <xf numFmtId="4" fontId="0" fillId="0" borderId="2" xfId="0" applyNumberFormat="1" applyBorder="1" applyAlignment="1">
      <alignment horizontal="center"/>
    </xf>
    <xf numFmtId="0" fontId="5" fillId="0" borderId="4" xfId="0" applyFont="1" applyBorder="1" applyAlignment="1">
      <alignment horizontal="center"/>
    </xf>
    <xf numFmtId="0" fontId="6" fillId="0" borderId="13" xfId="0" applyFont="1" applyBorder="1"/>
    <xf numFmtId="0" fontId="6" fillId="0" borderId="4" xfId="0" applyFont="1" applyBorder="1" applyAlignment="1">
      <alignment horizontal="center"/>
    </xf>
    <xf numFmtId="0" fontId="6" fillId="0" borderId="2" xfId="0" applyFont="1" applyBorder="1" applyAlignment="1">
      <alignment horizontal="center"/>
    </xf>
    <xf numFmtId="0" fontId="6" fillId="0" borderId="0" xfId="0" applyFont="1"/>
    <xf numFmtId="0" fontId="6" fillId="0" borderId="18" xfId="0" applyFont="1" applyBorder="1"/>
    <xf numFmtId="0" fontId="3" fillId="0" borderId="0" xfId="0" applyFont="1"/>
    <xf numFmtId="0" fontId="5" fillId="0" borderId="0" xfId="0" applyFont="1"/>
    <xf numFmtId="0" fontId="5" fillId="2" borderId="1" xfId="1" applyFont="1"/>
    <xf numFmtId="0" fontId="5" fillId="2" borderId="1" xfId="1" applyFont="1" applyAlignment="1">
      <alignment horizontal="center"/>
    </xf>
    <xf numFmtId="0" fontId="5" fillId="2" borderId="1" xfId="1" quotePrefix="1" applyFont="1" applyAlignment="1">
      <alignment horizontal="center"/>
    </xf>
    <xf numFmtId="0" fontId="3" fillId="0" borderId="20" xfId="0" applyFont="1" applyBorder="1" applyAlignment="1">
      <alignment horizontal="center" wrapText="1"/>
    </xf>
    <xf numFmtId="0" fontId="5" fillId="2" borderId="19" xfId="1" applyFont="1" applyBorder="1" applyAlignment="1">
      <alignment horizontal="center" wrapText="1"/>
    </xf>
    <xf numFmtId="0" fontId="5" fillId="0" borderId="2" xfId="0" applyFont="1" applyBorder="1" applyAlignment="1">
      <alignment horizontal="center" vertical="center"/>
    </xf>
    <xf numFmtId="15" fontId="5"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0" fontId="5" fillId="0" borderId="2" xfId="0" quotePrefix="1" applyFont="1" applyBorder="1" applyAlignment="1">
      <alignment horizontal="center" vertical="center"/>
    </xf>
    <xf numFmtId="0" fontId="3" fillId="0" borderId="21" xfId="0" applyFont="1" applyBorder="1" applyAlignment="1">
      <alignment horizontal="center" wrapText="1"/>
    </xf>
    <xf numFmtId="0" fontId="5" fillId="0" borderId="22" xfId="0" applyFont="1" applyBorder="1" applyAlignment="1">
      <alignment horizontal="center"/>
    </xf>
    <xf numFmtId="0" fontId="5" fillId="0" borderId="23" xfId="0" applyFont="1" applyBorder="1" applyAlignment="1">
      <alignment horizontal="center"/>
    </xf>
    <xf numFmtId="0" fontId="0" fillId="0" borderId="14" xfId="0" applyBorder="1"/>
    <xf numFmtId="0" fontId="5" fillId="0" borderId="14" xfId="0" applyFont="1" applyBorder="1" applyAlignment="1">
      <alignment horizontal="center" wrapText="1"/>
    </xf>
    <xf numFmtId="0" fontId="0" fillId="0" borderId="17" xfId="0" applyBorder="1"/>
    <xf numFmtId="15" fontId="5" fillId="0" borderId="2" xfId="0" applyNumberFormat="1" applyFont="1" applyBorder="1" applyAlignment="1">
      <alignment horizontal="center"/>
    </xf>
    <xf numFmtId="0" fontId="5" fillId="0" borderId="24" xfId="0" applyFont="1" applyBorder="1"/>
    <xf numFmtId="0" fontId="3" fillId="0" borderId="0" xfId="0" applyFont="1" applyAlignment="1">
      <alignment horizontal="center" wrapText="1"/>
    </xf>
    <xf numFmtId="0" fontId="0" fillId="0" borderId="0" xfId="0" applyAlignment="1">
      <alignment horizontal="center"/>
    </xf>
    <xf numFmtId="0" fontId="5" fillId="0" borderId="27" xfId="0" applyFont="1" applyBorder="1"/>
    <xf numFmtId="0" fontId="5" fillId="0" borderId="27" xfId="0" applyFont="1" applyBorder="1" applyAlignment="1">
      <alignment horizontal="center"/>
    </xf>
    <xf numFmtId="0" fontId="5" fillId="0" borderId="30" xfId="0" applyFont="1" applyBorder="1" applyAlignment="1">
      <alignment horizontal="center"/>
    </xf>
    <xf numFmtId="0" fontId="0" fillId="0" borderId="30" xfId="0" applyBorder="1"/>
    <xf numFmtId="0" fontId="0" fillId="0" borderId="0" xfId="0" applyAlignment="1">
      <alignment horizontal="left" vertical="center"/>
    </xf>
    <xf numFmtId="0" fontId="0" fillId="0" borderId="0" xfId="0" applyAlignment="1">
      <alignment horizontal="left" vertical="center" wrapText="1"/>
    </xf>
    <xf numFmtId="0" fontId="2" fillId="0" borderId="32" xfId="0" applyFont="1" applyBorder="1" applyAlignment="1">
      <alignment horizontal="center" wrapText="1"/>
    </xf>
    <xf numFmtId="0" fontId="0" fillId="0" borderId="30" xfId="0" applyBorder="1" applyAlignment="1">
      <alignment horizontal="left" vertical="center" wrapText="1"/>
    </xf>
    <xf numFmtId="0" fontId="0" fillId="0" borderId="30" xfId="0" applyBorder="1" applyAlignment="1">
      <alignment horizontal="center"/>
    </xf>
    <xf numFmtId="0" fontId="5" fillId="3" borderId="13" xfId="0" applyFont="1" applyFill="1" applyBorder="1"/>
    <xf numFmtId="0" fontId="5" fillId="3" borderId="2" xfId="0" applyFont="1" applyFill="1" applyBorder="1"/>
    <xf numFmtId="4" fontId="5" fillId="0" borderId="2" xfId="0" applyNumberFormat="1" applyFont="1" applyBorder="1" applyAlignment="1">
      <alignment horizontal="center"/>
    </xf>
    <xf numFmtId="0" fontId="3" fillId="0" borderId="33" xfId="0" applyFont="1" applyBorder="1"/>
    <xf numFmtId="0" fontId="3" fillId="0" borderId="34" xfId="0" applyFont="1" applyBorder="1" applyAlignment="1">
      <alignment horizontal="center" wrapText="1"/>
    </xf>
    <xf numFmtId="0" fontId="3" fillId="0" borderId="35" xfId="0" applyFont="1" applyBorder="1" applyAlignment="1">
      <alignment horizontal="center" wrapText="1"/>
    </xf>
    <xf numFmtId="0" fontId="5" fillId="0" borderId="10" xfId="0" applyFont="1" applyBorder="1"/>
    <xf numFmtId="0" fontId="5" fillId="0" borderId="11" xfId="0" applyFont="1" applyBorder="1" applyAlignment="1">
      <alignment horizontal="center"/>
    </xf>
    <xf numFmtId="0" fontId="5" fillId="0" borderId="12" xfId="0" applyFont="1" applyBorder="1" applyAlignment="1">
      <alignment horizontal="center"/>
    </xf>
    <xf numFmtId="4" fontId="5" fillId="0" borderId="14" xfId="0" applyNumberFormat="1" applyFont="1" applyBorder="1" applyAlignment="1">
      <alignment horizontal="center"/>
    </xf>
    <xf numFmtId="0" fontId="3" fillId="0" borderId="4" xfId="0" applyFont="1" applyBorder="1" applyAlignment="1">
      <alignment horizontal="center" wrapText="1"/>
    </xf>
    <xf numFmtId="0" fontId="7" fillId="0" borderId="13" xfId="0" applyFont="1" applyBorder="1"/>
    <xf numFmtId="0" fontId="7" fillId="0" borderId="4" xfId="0" applyFont="1" applyBorder="1" applyAlignment="1">
      <alignment horizontal="center"/>
    </xf>
    <xf numFmtId="164" fontId="0" fillId="0" borderId="0" xfId="0" applyNumberFormat="1"/>
    <xf numFmtId="165" fontId="0" fillId="0" borderId="2" xfId="0" applyNumberFormat="1" applyBorder="1" applyAlignment="1">
      <alignment horizontal="center"/>
    </xf>
    <xf numFmtId="165" fontId="5" fillId="0" borderId="11" xfId="0" applyNumberFormat="1" applyFont="1" applyBorder="1" applyAlignment="1">
      <alignment horizontal="center"/>
    </xf>
    <xf numFmtId="165" fontId="0" fillId="0" borderId="11" xfId="0" applyNumberFormat="1" applyBorder="1" applyAlignment="1">
      <alignment horizontal="center"/>
    </xf>
    <xf numFmtId="165" fontId="0" fillId="0" borderId="12" xfId="0" applyNumberFormat="1" applyBorder="1" applyAlignment="1">
      <alignment horizontal="center"/>
    </xf>
    <xf numFmtId="165" fontId="5" fillId="0" borderId="2" xfId="0" applyNumberFormat="1" applyFont="1" applyBorder="1" applyAlignment="1">
      <alignment horizontal="center"/>
    </xf>
    <xf numFmtId="165" fontId="0" fillId="0" borderId="14" xfId="0" applyNumberFormat="1" applyBorder="1" applyAlignment="1">
      <alignment horizontal="center"/>
    </xf>
    <xf numFmtId="165" fontId="6" fillId="0" borderId="2" xfId="0" applyNumberFormat="1" applyFont="1" applyBorder="1" applyAlignment="1">
      <alignment horizontal="center"/>
    </xf>
    <xf numFmtId="165" fontId="6" fillId="0" borderId="14" xfId="0" applyNumberFormat="1" applyFont="1" applyBorder="1" applyAlignment="1">
      <alignment horizontal="center"/>
    </xf>
    <xf numFmtId="165" fontId="6" fillId="0" borderId="16" xfId="0" applyNumberFormat="1" applyFont="1" applyBorder="1" applyAlignment="1">
      <alignment horizontal="center"/>
    </xf>
    <xf numFmtId="165" fontId="5" fillId="0" borderId="16" xfId="0" applyNumberFormat="1" applyFont="1" applyBorder="1" applyAlignment="1">
      <alignment horizontal="center"/>
    </xf>
    <xf numFmtId="165" fontId="0" fillId="0" borderId="16" xfId="0" applyNumberFormat="1" applyBorder="1" applyAlignment="1">
      <alignment horizontal="center"/>
    </xf>
    <xf numFmtId="165" fontId="0" fillId="0" borderId="17" xfId="0" applyNumberFormat="1" applyBorder="1" applyAlignment="1">
      <alignment horizontal="center"/>
    </xf>
    <xf numFmtId="165" fontId="5" fillId="0" borderId="14" xfId="0" applyNumberFormat="1" applyFont="1" applyBorder="1" applyAlignment="1">
      <alignment horizontal="center"/>
    </xf>
    <xf numFmtId="0" fontId="5" fillId="0" borderId="10" xfId="0" applyFont="1" applyBorder="1" applyAlignment="1">
      <alignment horizontal="left"/>
    </xf>
    <xf numFmtId="0" fontId="5" fillId="0" borderId="13" xfId="0" applyFont="1" applyBorder="1" applyAlignment="1">
      <alignment horizontal="left"/>
    </xf>
    <xf numFmtId="0" fontId="6" fillId="0" borderId="13" xfId="0" applyFont="1" applyBorder="1" applyAlignment="1">
      <alignment horizontal="left"/>
    </xf>
    <xf numFmtId="0" fontId="6" fillId="0" borderId="18" xfId="0" applyFont="1" applyBorder="1" applyAlignment="1">
      <alignment horizontal="left"/>
    </xf>
    <xf numFmtId="0" fontId="5" fillId="0" borderId="15" xfId="0" applyFont="1" applyBorder="1" applyAlignment="1">
      <alignment horizontal="left"/>
    </xf>
    <xf numFmtId="165" fontId="5" fillId="0" borderId="12" xfId="0" applyNumberFormat="1" applyFont="1" applyBorder="1" applyAlignment="1">
      <alignment horizontal="center"/>
    </xf>
    <xf numFmtId="0" fontId="5" fillId="0" borderId="21" xfId="0" applyFont="1" applyBorder="1" applyAlignment="1">
      <alignment horizontal="center"/>
    </xf>
    <xf numFmtId="0" fontId="6" fillId="0" borderId="22" xfId="0" applyFont="1" applyBorder="1" applyAlignment="1">
      <alignment horizontal="center"/>
    </xf>
    <xf numFmtId="0" fontId="7" fillId="0" borderId="22" xfId="0" applyFont="1" applyBorder="1" applyAlignment="1">
      <alignment horizontal="center"/>
    </xf>
    <xf numFmtId="165" fontId="0" fillId="0" borderId="10" xfId="0" applyNumberFormat="1" applyBorder="1" applyAlignment="1">
      <alignment horizontal="center"/>
    </xf>
    <xf numFmtId="165" fontId="0" fillId="0" borderId="13" xfId="0" applyNumberFormat="1" applyBorder="1" applyAlignment="1">
      <alignment horizontal="center"/>
    </xf>
    <xf numFmtId="165" fontId="6" fillId="0" borderId="13" xfId="0" applyNumberFormat="1" applyFont="1" applyBorder="1" applyAlignment="1">
      <alignment horizontal="center"/>
    </xf>
    <xf numFmtId="165" fontId="6" fillId="0" borderId="15" xfId="0" applyNumberFormat="1" applyFont="1" applyBorder="1" applyAlignment="1">
      <alignment horizontal="center"/>
    </xf>
    <xf numFmtId="165" fontId="7" fillId="0" borderId="13" xfId="0" applyNumberFormat="1" applyFont="1" applyBorder="1" applyAlignment="1">
      <alignment horizontal="center"/>
    </xf>
    <xf numFmtId="165" fontId="7" fillId="0" borderId="2" xfId="0" applyNumberFormat="1" applyFont="1" applyBorder="1" applyAlignment="1">
      <alignment horizontal="center"/>
    </xf>
    <xf numFmtId="165" fontId="0" fillId="0" borderId="0" xfId="0" applyNumberFormat="1" applyAlignment="1">
      <alignment horizontal="center"/>
    </xf>
    <xf numFmtId="166" fontId="5" fillId="0" borderId="2" xfId="0" applyNumberFormat="1" applyFont="1" applyBorder="1" applyAlignment="1">
      <alignment horizontal="center"/>
    </xf>
    <xf numFmtId="166" fontId="5" fillId="0" borderId="14" xfId="0" applyNumberFormat="1" applyFont="1" applyBorder="1" applyAlignment="1">
      <alignment horizontal="center"/>
    </xf>
    <xf numFmtId="166" fontId="0" fillId="0" borderId="2" xfId="0" applyNumberFormat="1" applyBorder="1" applyAlignment="1">
      <alignment horizontal="center"/>
    </xf>
    <xf numFmtId="166" fontId="0" fillId="0" borderId="14" xfId="0" applyNumberFormat="1" applyBorder="1" applyAlignment="1">
      <alignment horizontal="center"/>
    </xf>
    <xf numFmtId="166" fontId="6" fillId="0" borderId="2" xfId="0" applyNumberFormat="1" applyFont="1" applyBorder="1" applyAlignment="1">
      <alignment horizontal="center"/>
    </xf>
    <xf numFmtId="166" fontId="6" fillId="0" borderId="14" xfId="0" applyNumberFormat="1" applyFont="1" applyBorder="1" applyAlignment="1">
      <alignment horizontal="center"/>
    </xf>
    <xf numFmtId="166" fontId="2" fillId="0" borderId="16" xfId="0" applyNumberFormat="1" applyFont="1" applyBorder="1" applyAlignment="1">
      <alignment horizontal="center"/>
    </xf>
    <xf numFmtId="166" fontId="2" fillId="0" borderId="17" xfId="0" applyNumberFormat="1" applyFont="1" applyBorder="1" applyAlignment="1">
      <alignment horizontal="center"/>
    </xf>
    <xf numFmtId="166" fontId="0" fillId="0" borderId="31" xfId="0" applyNumberFormat="1" applyBorder="1" applyAlignment="1">
      <alignment horizontal="center"/>
    </xf>
    <xf numFmtId="166" fontId="0" fillId="0" borderId="30" xfId="0" applyNumberFormat="1" applyBorder="1" applyAlignment="1">
      <alignment horizontal="center"/>
    </xf>
    <xf numFmtId="166" fontId="0" fillId="0" borderId="29" xfId="0" applyNumberFormat="1" applyBorder="1" applyAlignment="1">
      <alignment horizontal="center"/>
    </xf>
    <xf numFmtId="166" fontId="5" fillId="0" borderId="31" xfId="0" quotePrefix="1" applyNumberFormat="1" applyFont="1" applyBorder="1" applyAlignment="1">
      <alignment horizontal="center"/>
    </xf>
    <xf numFmtId="0" fontId="5" fillId="0" borderId="29" xfId="0" applyFont="1" applyBorder="1" applyAlignment="1">
      <alignment horizontal="center"/>
    </xf>
    <xf numFmtId="0" fontId="5" fillId="0" borderId="31" xfId="0" applyFont="1" applyBorder="1" applyAlignment="1">
      <alignment horizontal="center"/>
    </xf>
    <xf numFmtId="166" fontId="0" fillId="0" borderId="25" xfId="0" applyNumberFormat="1" applyBorder="1" applyAlignment="1">
      <alignment horizontal="center"/>
    </xf>
    <xf numFmtId="166" fontId="0" fillId="0" borderId="0" xfId="0" applyNumberFormat="1" applyAlignment="1">
      <alignment horizontal="center"/>
    </xf>
    <xf numFmtId="166" fontId="0" fillId="0" borderId="18" xfId="0" applyNumberFormat="1" applyBorder="1" applyAlignment="1">
      <alignment horizontal="center"/>
    </xf>
    <xf numFmtId="166" fontId="5" fillId="0" borderId="25" xfId="0" applyNumberFormat="1" applyFont="1" applyBorder="1" applyAlignment="1">
      <alignment horizontal="center"/>
    </xf>
    <xf numFmtId="0" fontId="5" fillId="0" borderId="0" xfId="0" applyFont="1" applyAlignment="1">
      <alignment horizontal="center"/>
    </xf>
    <xf numFmtId="0" fontId="5" fillId="0" borderId="18" xfId="0" applyFont="1" applyBorder="1" applyAlignment="1">
      <alignment horizontal="center"/>
    </xf>
    <xf numFmtId="0" fontId="5" fillId="0" borderId="25" xfId="0" applyFont="1" applyBorder="1" applyAlignment="1">
      <alignment horizontal="center"/>
    </xf>
    <xf numFmtId="0" fontId="5" fillId="0" borderId="26" xfId="0" applyFont="1" applyBorder="1" applyAlignment="1">
      <alignment horizontal="center"/>
    </xf>
    <xf numFmtId="0" fontId="5" fillId="0" borderId="28" xfId="0" applyFont="1" applyBorder="1" applyAlignment="1">
      <alignment horizontal="center"/>
    </xf>
    <xf numFmtId="166" fontId="5" fillId="0" borderId="31" xfId="0" applyNumberFormat="1" applyFont="1" applyBorder="1" applyAlignment="1">
      <alignment horizontal="center"/>
    </xf>
    <xf numFmtId="166" fontId="0" fillId="0" borderId="27" xfId="0" applyNumberFormat="1" applyBorder="1" applyAlignment="1">
      <alignment horizontal="center"/>
    </xf>
    <xf numFmtId="166" fontId="0" fillId="0" borderId="26" xfId="0" applyNumberFormat="1" applyBorder="1" applyAlignment="1">
      <alignment horizontal="center"/>
    </xf>
    <xf numFmtId="166" fontId="5" fillId="0" borderId="28" xfId="0" applyNumberFormat="1" applyFont="1" applyBorder="1" applyAlignment="1">
      <alignment horizontal="center"/>
    </xf>
    <xf numFmtId="166" fontId="5" fillId="0" borderId="0" xfId="0" applyNumberFormat="1" applyFont="1" applyAlignment="1">
      <alignment horizontal="center"/>
    </xf>
    <xf numFmtId="166" fontId="5" fillId="0" borderId="18" xfId="0" applyNumberFormat="1" applyFont="1" applyBorder="1" applyAlignment="1">
      <alignment horizontal="center"/>
    </xf>
    <xf numFmtId="166" fontId="5" fillId="0" borderId="27" xfId="0" applyNumberFormat="1" applyFont="1" applyBorder="1" applyAlignment="1">
      <alignment horizontal="center"/>
    </xf>
    <xf numFmtId="166" fontId="5" fillId="0" borderId="26" xfId="0" applyNumberFormat="1" applyFont="1" applyBorder="1" applyAlignment="1">
      <alignment horizontal="center"/>
    </xf>
    <xf numFmtId="0" fontId="3" fillId="0" borderId="9" xfId="0" applyFont="1" applyBorder="1" applyAlignment="1">
      <alignment horizontal="center" wrapText="1"/>
    </xf>
    <xf numFmtId="0" fontId="3" fillId="0" borderId="8" xfId="0" applyFont="1" applyBorder="1" applyAlignment="1">
      <alignment horizontal="center" wrapText="1"/>
    </xf>
    <xf numFmtId="0" fontId="3" fillId="0" borderId="7" xfId="0" applyFont="1" applyBorder="1" applyAlignment="1">
      <alignment horizontal="center" wrapText="1"/>
    </xf>
    <xf numFmtId="0" fontId="3" fillId="0" borderId="28" xfId="0" applyFont="1" applyBorder="1" applyAlignment="1">
      <alignment horizontal="center" wrapText="1"/>
    </xf>
    <xf numFmtId="0" fontId="3" fillId="0" borderId="27" xfId="0" applyFont="1" applyBorder="1" applyAlignment="1">
      <alignment horizontal="center" wrapText="1"/>
    </xf>
    <xf numFmtId="0" fontId="3" fillId="0" borderId="26" xfId="0" applyFont="1" applyBorder="1" applyAlignment="1">
      <alignment horizontal="center" wrapText="1"/>
    </xf>
    <xf numFmtId="0" fontId="3" fillId="0" borderId="0" xfId="0" applyFont="1" applyAlignment="1">
      <alignment horizontal="center"/>
    </xf>
    <xf numFmtId="0" fontId="2" fillId="0" borderId="0" xfId="0" applyFont="1" applyAlignment="1">
      <alignment horizontal="center"/>
    </xf>
    <xf numFmtId="0" fontId="2" fillId="0" borderId="0" xfId="0" applyFont="1"/>
    <xf numFmtId="165" fontId="6" fillId="0" borderId="31" xfId="0" applyNumberFormat="1" applyFont="1" applyBorder="1" applyAlignment="1">
      <alignment horizontal="center"/>
    </xf>
    <xf numFmtId="165" fontId="6" fillId="0" borderId="30" xfId="0" applyNumberFormat="1" applyFont="1" applyBorder="1" applyAlignment="1">
      <alignment horizontal="center"/>
    </xf>
    <xf numFmtId="165" fontId="6" fillId="0" borderId="36" xfId="0" applyNumberFormat="1" applyFont="1" applyBorder="1" applyAlignment="1">
      <alignment horizontal="center"/>
    </xf>
    <xf numFmtId="0" fontId="6" fillId="0" borderId="30" xfId="0" applyFont="1" applyBorder="1" applyAlignment="1">
      <alignment horizontal="center"/>
    </xf>
    <xf numFmtId="0" fontId="6" fillId="0" borderId="30" xfId="0" applyFont="1" applyBorder="1"/>
    <xf numFmtId="165" fontId="6" fillId="0" borderId="25" xfId="0" applyNumberFormat="1" applyFont="1" applyBorder="1" applyAlignment="1">
      <alignment horizontal="center"/>
    </xf>
    <xf numFmtId="165" fontId="6" fillId="0" borderId="0" xfId="0" applyNumberFormat="1" applyFont="1" applyAlignment="1">
      <alignment horizontal="center"/>
    </xf>
    <xf numFmtId="165" fontId="6" fillId="0" borderId="37" xfId="0" applyNumberFormat="1" applyFont="1" applyBorder="1" applyAlignment="1">
      <alignment horizontal="center"/>
    </xf>
    <xf numFmtId="0" fontId="6" fillId="0" borderId="0" xfId="0" applyFont="1" applyAlignment="1">
      <alignment horizontal="center"/>
    </xf>
    <xf numFmtId="165" fontId="6" fillId="0" borderId="38" xfId="0" applyNumberFormat="1" applyFont="1" applyBorder="1" applyAlignment="1">
      <alignment horizontal="center"/>
    </xf>
    <xf numFmtId="165" fontId="6" fillId="0" borderId="3" xfId="0" applyNumberFormat="1" applyFont="1" applyBorder="1" applyAlignment="1">
      <alignment horizontal="center"/>
    </xf>
    <xf numFmtId="165" fontId="6" fillId="0" borderId="39" xfId="0" applyNumberFormat="1" applyFont="1" applyBorder="1" applyAlignment="1">
      <alignment horizontal="center"/>
    </xf>
    <xf numFmtId="0" fontId="6" fillId="0" borderId="3" xfId="0" applyFont="1" applyBorder="1" applyAlignment="1">
      <alignment horizontal="center"/>
    </xf>
    <xf numFmtId="0" fontId="6" fillId="0" borderId="3" xfId="0" applyFont="1" applyBorder="1"/>
    <xf numFmtId="165" fontId="0" fillId="0" borderId="38" xfId="0" applyNumberFormat="1" applyBorder="1" applyAlignment="1">
      <alignment horizontal="center"/>
    </xf>
    <xf numFmtId="165" fontId="0" fillId="0" borderId="3" xfId="0" applyNumberFormat="1" applyBorder="1" applyAlignment="1">
      <alignment horizontal="center"/>
    </xf>
    <xf numFmtId="165" fontId="0" fillId="0" borderId="39" xfId="0" applyNumberFormat="1" applyBorder="1" applyAlignment="1">
      <alignment horizontal="center"/>
    </xf>
    <xf numFmtId="0" fontId="5" fillId="0" borderId="3" xfId="0" applyFont="1" applyBorder="1" applyAlignment="1">
      <alignment horizontal="center"/>
    </xf>
    <xf numFmtId="0" fontId="5" fillId="0" borderId="3" xfId="0" applyFont="1" applyBorder="1"/>
    <xf numFmtId="165" fontId="0" fillId="0" borderId="25" xfId="0" applyNumberFormat="1" applyBorder="1" applyAlignment="1">
      <alignment horizontal="center"/>
    </xf>
    <xf numFmtId="165" fontId="0" fillId="0" borderId="37" xfId="0" applyNumberFormat="1" applyBorder="1" applyAlignment="1">
      <alignment horizontal="center"/>
    </xf>
    <xf numFmtId="165" fontId="0" fillId="0" borderId="28" xfId="0" applyNumberFormat="1" applyBorder="1" applyAlignment="1">
      <alignment horizontal="center"/>
    </xf>
    <xf numFmtId="165" fontId="0" fillId="0" borderId="27" xfId="0" applyNumberFormat="1" applyBorder="1" applyAlignment="1">
      <alignment horizontal="center"/>
    </xf>
    <xf numFmtId="165" fontId="0" fillId="0" borderId="40" xfId="0" applyNumberFormat="1" applyBorder="1" applyAlignment="1">
      <alignment horizontal="center"/>
    </xf>
    <xf numFmtId="0" fontId="6" fillId="0" borderId="0" xfId="0" applyFont="1" applyAlignment="1">
      <alignment horizontal="left"/>
    </xf>
    <xf numFmtId="0" fontId="5" fillId="0" borderId="3" xfId="0" applyFont="1" applyBorder="1" applyAlignment="1">
      <alignment horizontal="left"/>
    </xf>
    <xf numFmtId="0" fontId="5" fillId="0" borderId="0" xfId="0" applyFont="1" applyAlignment="1">
      <alignment horizontal="left"/>
    </xf>
    <xf numFmtId="0" fontId="5" fillId="0" borderId="27" xfId="0" applyFont="1" applyBorder="1" applyAlignment="1">
      <alignment horizontal="left"/>
    </xf>
    <xf numFmtId="165" fontId="0" fillId="0" borderId="31" xfId="0" applyNumberFormat="1" applyBorder="1" applyAlignment="1">
      <alignment horizontal="center"/>
    </xf>
    <xf numFmtId="165" fontId="0" fillId="0" borderId="30" xfId="0" applyNumberFormat="1" applyBorder="1" applyAlignment="1">
      <alignment horizontal="center"/>
    </xf>
    <xf numFmtId="165" fontId="0" fillId="0" borderId="36" xfId="0" applyNumberFormat="1" applyBorder="1" applyAlignment="1">
      <alignment horizontal="center"/>
    </xf>
    <xf numFmtId="0" fontId="5" fillId="0" borderId="3" xfId="0" quotePrefix="1" applyFont="1" applyBorder="1" applyAlignment="1">
      <alignment horizontal="center"/>
    </xf>
    <xf numFmtId="0" fontId="3" fillId="0" borderId="37" xfId="0" applyFont="1" applyBorder="1" applyAlignment="1">
      <alignment horizontal="center" wrapText="1"/>
    </xf>
    <xf numFmtId="0" fontId="0" fillId="0" borderId="41" xfId="0" applyBorder="1"/>
    <xf numFmtId="0" fontId="0" fillId="0" borderId="42" xfId="0" applyBorder="1"/>
    <xf numFmtId="0" fontId="5" fillId="0" borderId="42" xfId="0" applyFont="1" applyBorder="1" applyAlignment="1">
      <alignment horizontal="center" wrapText="1"/>
    </xf>
    <xf numFmtId="0" fontId="5" fillId="0" borderId="42" xfId="0" applyFont="1" applyBorder="1" applyAlignment="1">
      <alignment wrapText="1"/>
    </xf>
    <xf numFmtId="0" fontId="5" fillId="0" borderId="43" xfId="0" applyFont="1" applyBorder="1" applyAlignment="1">
      <alignment horizontal="center" wrapText="1"/>
    </xf>
    <xf numFmtId="0" fontId="9" fillId="5" borderId="0" xfId="3"/>
    <xf numFmtId="0" fontId="9" fillId="5" borderId="0" xfId="3" applyAlignment="1">
      <alignment horizontal="center"/>
    </xf>
    <xf numFmtId="165" fontId="9" fillId="5" borderId="37" xfId="3" applyNumberFormat="1" applyBorder="1" applyAlignment="1">
      <alignment horizontal="center"/>
    </xf>
    <xf numFmtId="165" fontId="9" fillId="5" borderId="0" xfId="3" applyNumberFormat="1" applyAlignment="1">
      <alignment horizontal="center"/>
    </xf>
    <xf numFmtId="165" fontId="9" fillId="5" borderId="25" xfId="3" applyNumberFormat="1" applyBorder="1" applyAlignment="1">
      <alignment horizontal="center"/>
    </xf>
    <xf numFmtId="0" fontId="9" fillId="5" borderId="3" xfId="3" applyBorder="1"/>
    <xf numFmtId="0" fontId="9" fillId="5" borderId="3" xfId="3" applyBorder="1" applyAlignment="1">
      <alignment horizontal="center"/>
    </xf>
    <xf numFmtId="0" fontId="9" fillId="5" borderId="3" xfId="3" quotePrefix="1" applyBorder="1" applyAlignment="1">
      <alignment horizontal="center"/>
    </xf>
    <xf numFmtId="165" fontId="9" fillId="5" borderId="39" xfId="3" applyNumberFormat="1" applyBorder="1" applyAlignment="1">
      <alignment horizontal="center"/>
    </xf>
    <xf numFmtId="165" fontId="9" fillId="5" borderId="3" xfId="3" applyNumberFormat="1" applyBorder="1" applyAlignment="1">
      <alignment horizontal="center"/>
    </xf>
    <xf numFmtId="165" fontId="9" fillId="5" borderId="38" xfId="3" applyNumberFormat="1" applyBorder="1" applyAlignment="1">
      <alignment horizontal="center"/>
    </xf>
    <xf numFmtId="0" fontId="8" fillId="4" borderId="3" xfId="2" applyBorder="1"/>
    <xf numFmtId="0" fontId="8" fillId="4" borderId="3" xfId="2" applyBorder="1" applyAlignment="1">
      <alignment horizontal="center"/>
    </xf>
    <xf numFmtId="165" fontId="8" fillId="4" borderId="3" xfId="2" applyNumberFormat="1" applyBorder="1" applyAlignment="1">
      <alignment horizontal="center"/>
    </xf>
    <xf numFmtId="165" fontId="8" fillId="4" borderId="39" xfId="2" applyNumberFormat="1" applyBorder="1" applyAlignment="1">
      <alignment horizontal="center"/>
    </xf>
    <xf numFmtId="165" fontId="8" fillId="4" borderId="38" xfId="2" applyNumberFormat="1" applyBorder="1" applyAlignment="1">
      <alignment horizontal="center"/>
    </xf>
    <xf numFmtId="0" fontId="8" fillId="4" borderId="3" xfId="2" applyBorder="1" applyAlignment="1">
      <alignment horizontal="left"/>
    </xf>
    <xf numFmtId="165" fontId="10" fillId="6" borderId="37" xfId="4" applyNumberFormat="1" applyBorder="1" applyAlignment="1">
      <alignment horizontal="center"/>
    </xf>
    <xf numFmtId="165" fontId="10" fillId="6" borderId="0" xfId="4" applyNumberFormat="1" applyAlignment="1">
      <alignment horizontal="center"/>
    </xf>
    <xf numFmtId="165" fontId="10" fillId="6" borderId="25" xfId="4" applyNumberFormat="1" applyBorder="1" applyAlignment="1">
      <alignment horizontal="center"/>
    </xf>
    <xf numFmtId="0" fontId="10" fillId="6" borderId="0" xfId="4"/>
    <xf numFmtId="0" fontId="10" fillId="6" borderId="0" xfId="4" applyAlignment="1">
      <alignment horizontal="center"/>
    </xf>
    <xf numFmtId="0" fontId="0" fillId="0" borderId="42" xfId="0" applyBorder="1" applyAlignment="1">
      <alignment wrapText="1"/>
    </xf>
    <xf numFmtId="0" fontId="5" fillId="0" borderId="0" xfId="0" quotePrefix="1" applyFont="1" applyAlignment="1">
      <alignment horizontal="center"/>
    </xf>
    <xf numFmtId="166" fontId="5" fillId="0" borderId="0" xfId="0" quotePrefix="1" applyNumberFormat="1" applyFont="1" applyAlignment="1">
      <alignment horizontal="center"/>
    </xf>
    <xf numFmtId="166" fontId="0" fillId="0" borderId="28" xfId="0" applyNumberFormat="1" applyBorder="1" applyAlignment="1">
      <alignment horizontal="center"/>
    </xf>
    <xf numFmtId="0" fontId="5" fillId="0" borderId="30" xfId="0" quotePrefix="1" applyFont="1" applyBorder="1" applyAlignment="1">
      <alignment horizontal="center"/>
    </xf>
    <xf numFmtId="166" fontId="5" fillId="0" borderId="30" xfId="0" applyNumberFormat="1" applyFont="1" applyBorder="1" applyAlignment="1">
      <alignment horizontal="center"/>
    </xf>
    <xf numFmtId="0" fontId="3" fillId="0" borderId="30" xfId="0" applyFont="1" applyBorder="1" applyAlignment="1">
      <alignment horizontal="center"/>
    </xf>
    <xf numFmtId="166" fontId="5" fillId="0" borderId="30" xfId="0" quotePrefix="1" applyNumberFormat="1" applyFont="1" applyBorder="1" applyAlignment="1">
      <alignment horizontal="center"/>
    </xf>
    <xf numFmtId="166" fontId="5" fillId="0" borderId="29" xfId="0" applyNumberFormat="1" applyFont="1" applyBorder="1" applyAlignment="1">
      <alignment horizontal="center"/>
    </xf>
    <xf numFmtId="165" fontId="5" fillId="0" borderId="17" xfId="0" applyNumberFormat="1" applyFont="1" applyBorder="1" applyAlignment="1">
      <alignment horizontal="center"/>
    </xf>
    <xf numFmtId="0" fontId="5" fillId="0" borderId="44" xfId="0" applyFont="1" applyBorder="1"/>
    <xf numFmtId="0" fontId="5" fillId="0" borderId="6" xfId="0" applyFont="1" applyBorder="1" applyAlignment="1">
      <alignment horizontal="center"/>
    </xf>
    <xf numFmtId="165" fontId="5" fillId="0" borderId="45" xfId="0" applyNumberFormat="1" applyFont="1" applyBorder="1" applyAlignment="1">
      <alignment horizontal="center"/>
    </xf>
    <xf numFmtId="0" fontId="3" fillId="0" borderId="46" xfId="0" applyFont="1" applyBorder="1"/>
    <xf numFmtId="0" fontId="3" fillId="0" borderId="47" xfId="0" applyFont="1" applyBorder="1" applyAlignment="1">
      <alignment horizontal="center" wrapText="1"/>
    </xf>
    <xf numFmtId="0" fontId="3" fillId="0" borderId="48" xfId="0" applyFont="1" applyBorder="1" applyAlignment="1">
      <alignment horizontal="center" wrapText="1"/>
    </xf>
    <xf numFmtId="2" fontId="0" fillId="0" borderId="6" xfId="0" applyNumberFormat="1" applyBorder="1" applyAlignment="1">
      <alignment horizontal="center"/>
    </xf>
    <xf numFmtId="2" fontId="0" fillId="0" borderId="2" xfId="0" applyNumberFormat="1" applyBorder="1" applyAlignment="1">
      <alignment horizontal="center"/>
    </xf>
    <xf numFmtId="2" fontId="5" fillId="0" borderId="2" xfId="0" applyNumberFormat="1" applyFont="1" applyBorder="1" applyAlignment="1">
      <alignment horizontal="center"/>
    </xf>
    <xf numFmtId="2" fontId="5" fillId="0" borderId="16" xfId="0" applyNumberFormat="1" applyFont="1" applyBorder="1" applyAlignment="1">
      <alignment horizontal="center"/>
    </xf>
    <xf numFmtId="0" fontId="6" fillId="0" borderId="18" xfId="0" applyFont="1" applyBorder="1" applyAlignment="1">
      <alignment horizontal="center"/>
    </xf>
    <xf numFmtId="0" fontId="3" fillId="0" borderId="30" xfId="0" applyFont="1" applyBorder="1" applyAlignment="1">
      <alignment horizontal="center" wrapText="1"/>
    </xf>
    <xf numFmtId="0" fontId="3" fillId="0" borderId="29" xfId="0" applyFont="1" applyBorder="1" applyAlignment="1">
      <alignment horizontal="center" wrapText="1"/>
    </xf>
    <xf numFmtId="0" fontId="3" fillId="0" borderId="31" xfId="0" applyFont="1" applyBorder="1" applyAlignment="1">
      <alignment horizontal="center" wrapText="1"/>
    </xf>
    <xf numFmtId="166" fontId="5" fillId="0" borderId="25" xfId="0" applyNumberFormat="1" applyFont="1" applyBorder="1" applyAlignment="1">
      <alignment horizontal="center" wrapText="1"/>
    </xf>
    <xf numFmtId="0" fontId="5" fillId="0" borderId="25" xfId="0" applyFont="1" applyBorder="1" applyAlignment="1">
      <alignment horizontal="center" wrapText="1"/>
    </xf>
    <xf numFmtId="0" fontId="5" fillId="0" borderId="29" xfId="0" quotePrefix="1" applyFont="1" applyBorder="1" applyAlignment="1">
      <alignment horizontal="center"/>
    </xf>
    <xf numFmtId="0" fontId="3" fillId="0" borderId="31" xfId="0" quotePrefix="1" applyFont="1" applyBorder="1" applyAlignment="1">
      <alignment horizontal="center" wrapText="1"/>
    </xf>
    <xf numFmtId="2" fontId="5" fillId="0" borderId="25" xfId="0" applyNumberFormat="1" applyFont="1" applyBorder="1" applyAlignment="1">
      <alignment horizontal="center" wrapText="1"/>
    </xf>
    <xf numFmtId="0" fontId="5" fillId="0" borderId="18" xfId="0" quotePrefix="1" applyFont="1" applyBorder="1" applyAlignment="1">
      <alignment horizontal="center"/>
    </xf>
    <xf numFmtId="2" fontId="5" fillId="0" borderId="25" xfId="0" quotePrefix="1" applyNumberFormat="1" applyFont="1" applyBorder="1" applyAlignment="1">
      <alignment horizontal="center" wrapText="1"/>
    </xf>
    <xf numFmtId="2" fontId="5" fillId="0" borderId="31" xfId="0" applyNumberFormat="1" applyFont="1" applyBorder="1" applyAlignment="1">
      <alignment horizontal="center" wrapText="1"/>
    </xf>
    <xf numFmtId="0" fontId="6" fillId="0" borderId="29" xfId="0" applyFont="1" applyBorder="1" applyAlignment="1">
      <alignment horizontal="center"/>
    </xf>
    <xf numFmtId="0" fontId="4" fillId="0" borderId="3" xfId="0" applyFont="1" applyBorder="1" applyAlignment="1">
      <alignment horizont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0" fillId="0" borderId="0" xfId="0" applyAlignment="1">
      <alignment horizontal="left" vertical="top" wrapText="1"/>
    </xf>
    <xf numFmtId="0" fontId="0" fillId="0" borderId="0" xfId="0" applyAlignment="1">
      <alignment horizontal="left" vertical="center" wrapText="1"/>
    </xf>
    <xf numFmtId="0" fontId="2" fillId="0" borderId="27" xfId="0" applyFont="1" applyBorder="1" applyAlignment="1">
      <alignment horizontal="center"/>
    </xf>
    <xf numFmtId="0" fontId="2" fillId="0" borderId="26" xfId="0" applyFont="1" applyBorder="1" applyAlignment="1">
      <alignment horizontal="center"/>
    </xf>
    <xf numFmtId="0" fontId="2" fillId="0" borderId="28" xfId="0" applyFont="1" applyBorder="1" applyAlignment="1">
      <alignment horizontal="center"/>
    </xf>
    <xf numFmtId="0" fontId="0" fillId="0" borderId="0" xfId="0" applyAlignment="1">
      <alignment horizontal="left" wrapText="1"/>
    </xf>
    <xf numFmtId="0" fontId="5" fillId="0" borderId="18"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0" fillId="0" borderId="26" xfId="0" applyBorder="1" applyAlignment="1">
      <alignment horizontal="center" vertical="center" wrapText="1"/>
    </xf>
    <xf numFmtId="0" fontId="0" fillId="0" borderId="18" xfId="0" applyBorder="1" applyAlignment="1">
      <alignment horizontal="center" vertical="center" wrapText="1"/>
    </xf>
    <xf numFmtId="0" fontId="0" fillId="0" borderId="29" xfId="0" applyBorder="1" applyAlignment="1">
      <alignment horizontal="center" vertical="center" wrapText="1"/>
    </xf>
    <xf numFmtId="0" fontId="2" fillId="0" borderId="37" xfId="0" applyFont="1" applyBorder="1" applyAlignment="1">
      <alignment horizontal="center"/>
    </xf>
    <xf numFmtId="0" fontId="2" fillId="0" borderId="0" xfId="0" applyFont="1" applyAlignment="1">
      <alignment horizontal="center"/>
    </xf>
    <xf numFmtId="0" fontId="0" fillId="0" borderId="26" xfId="0" applyBorder="1" applyAlignment="1">
      <alignment vertical="center"/>
    </xf>
    <xf numFmtId="0" fontId="0" fillId="0" borderId="18" xfId="0" applyBorder="1" applyAlignment="1">
      <alignment vertical="center"/>
    </xf>
    <xf numFmtId="0" fontId="0" fillId="0" borderId="29" xfId="0" applyBorder="1" applyAlignment="1">
      <alignment vertical="center"/>
    </xf>
    <xf numFmtId="0" fontId="0" fillId="0" borderId="26" xfId="0" applyBorder="1" applyAlignment="1">
      <alignment horizontal="center" vertical="center"/>
    </xf>
    <xf numFmtId="0" fontId="0" fillId="0" borderId="18" xfId="0" applyBorder="1" applyAlignment="1">
      <alignment horizontal="center" vertical="center"/>
    </xf>
    <xf numFmtId="0" fontId="0" fillId="0" borderId="29" xfId="0" applyBorder="1" applyAlignment="1">
      <alignment horizontal="center" vertical="center"/>
    </xf>
    <xf numFmtId="0" fontId="2" fillId="0" borderId="30" xfId="0" applyFont="1" applyBorder="1" applyAlignment="1">
      <alignment horizontal="center"/>
    </xf>
  </cellXfs>
  <cellStyles count="5">
    <cellStyle name="Bad" xfId="3" builtinId="27"/>
    <cellStyle name="Good" xfId="2" builtinId="26"/>
    <cellStyle name="Neutral" xfId="4" builtinId="28"/>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997385271859724E-2"/>
          <c:y val="3.329549357292106E-2"/>
          <c:w val="0.75311417344043474"/>
          <c:h val="0.71849665010549413"/>
        </c:manualLayout>
      </c:layout>
      <c:barChart>
        <c:barDir val="col"/>
        <c:grouping val="clustered"/>
        <c:varyColors val="0"/>
        <c:ser>
          <c:idx val="0"/>
          <c:order val="0"/>
          <c:tx>
            <c:v>Field Protocol</c:v>
          </c:tx>
          <c:spPr>
            <a:solidFill>
              <a:schemeClr val="accent1"/>
            </a:solidFill>
            <a:ln>
              <a:noFill/>
            </a:ln>
            <a:effectLst/>
          </c:spPr>
          <c:invertIfNegative val="0"/>
          <c:cat>
            <c:strRef>
              <c:f>'Repeat Test - Dave Keith'!$A$66:$A$72</c:f>
              <c:strCache>
                <c:ptCount val="7"/>
                <c:pt idx="0">
                  <c:v>Std 5</c:v>
                </c:pt>
                <c:pt idx="1">
                  <c:v>Std 1</c:v>
                </c:pt>
                <c:pt idx="2">
                  <c:v>AIS-4496</c:v>
                </c:pt>
                <c:pt idx="3">
                  <c:v>AIS-4497</c:v>
                </c:pt>
                <c:pt idx="4">
                  <c:v>AIS-4499</c:v>
                </c:pt>
                <c:pt idx="5">
                  <c:v>Field ENEG</c:v>
                </c:pt>
                <c:pt idx="6">
                  <c:v>Lab ENEG</c:v>
                </c:pt>
              </c:strCache>
            </c:strRef>
          </c:cat>
          <c:val>
            <c:numRef>
              <c:f>'Repeat Test - Dave Keith'!$E$66:$E$72</c:f>
              <c:numCache>
                <c:formatCode>0.0</c:formatCode>
                <c:ptCount val="7"/>
                <c:pt idx="0">
                  <c:v>22</c:v>
                </c:pt>
                <c:pt idx="1">
                  <c:v>35.75</c:v>
                </c:pt>
                <c:pt idx="2">
                  <c:v>27.766666666666666</c:v>
                </c:pt>
                <c:pt idx="3">
                  <c:v>27.866666666666664</c:v>
                </c:pt>
                <c:pt idx="4" formatCode="General">
                  <c:v>0</c:v>
                </c:pt>
                <c:pt idx="5" formatCode="General">
                  <c:v>0</c:v>
                </c:pt>
                <c:pt idx="6" formatCode="General">
                  <c:v>0</c:v>
                </c:pt>
              </c:numCache>
            </c:numRef>
          </c:val>
          <c:extLst>
            <c:ext xmlns:c16="http://schemas.microsoft.com/office/drawing/2014/chart" uri="{C3380CC4-5D6E-409C-BE32-E72D297353CC}">
              <c16:uniqueId val="{00000000-41A4-4E63-A1AB-93EAF94D96C3}"/>
            </c:ext>
          </c:extLst>
        </c:ser>
        <c:ser>
          <c:idx val="1"/>
          <c:order val="1"/>
          <c:tx>
            <c:v>Lab Verification</c:v>
          </c:tx>
          <c:spPr>
            <a:solidFill>
              <a:schemeClr val="accent4"/>
            </a:solidFill>
            <a:ln>
              <a:noFill/>
            </a:ln>
            <a:effectLst/>
          </c:spPr>
          <c:invertIfNegative val="0"/>
          <c:cat>
            <c:strRef>
              <c:f>'Repeat Test - Dave Keith'!$A$66:$A$72</c:f>
              <c:strCache>
                <c:ptCount val="7"/>
                <c:pt idx="0">
                  <c:v>Std 5</c:v>
                </c:pt>
                <c:pt idx="1">
                  <c:v>Std 1</c:v>
                </c:pt>
                <c:pt idx="2">
                  <c:v>AIS-4496</c:v>
                </c:pt>
                <c:pt idx="3">
                  <c:v>AIS-4497</c:v>
                </c:pt>
                <c:pt idx="4">
                  <c:v>AIS-4499</c:v>
                </c:pt>
                <c:pt idx="5">
                  <c:v>Field ENEG</c:v>
                </c:pt>
                <c:pt idx="6">
                  <c:v>Lab ENEG</c:v>
                </c:pt>
              </c:strCache>
            </c:strRef>
          </c:cat>
          <c:val>
            <c:numRef>
              <c:f>'Repeat Test - Dave Keith'!$I$66:$I$72</c:f>
              <c:numCache>
                <c:formatCode>0.0</c:formatCode>
                <c:ptCount val="7"/>
                <c:pt idx="0">
                  <c:v>21.210388333333331</c:v>
                </c:pt>
                <c:pt idx="1">
                  <c:v>34.833948333333332</c:v>
                </c:pt>
                <c:pt idx="2">
                  <c:v>27.595778666666671</c:v>
                </c:pt>
                <c:pt idx="3">
                  <c:v>26.988908666666664</c:v>
                </c:pt>
                <c:pt idx="4" formatCode="0.00">
                  <c:v>0</c:v>
                </c:pt>
                <c:pt idx="5" formatCode="0.00">
                  <c:v>0</c:v>
                </c:pt>
                <c:pt idx="6" formatCode="0.00">
                  <c:v>0</c:v>
                </c:pt>
              </c:numCache>
            </c:numRef>
          </c:val>
          <c:extLst>
            <c:ext xmlns:c16="http://schemas.microsoft.com/office/drawing/2014/chart" uri="{C3380CC4-5D6E-409C-BE32-E72D297353CC}">
              <c16:uniqueId val="{00000001-41A4-4E63-A1AB-93EAF94D96C3}"/>
            </c:ext>
          </c:extLst>
        </c:ser>
        <c:dLbls>
          <c:showLegendKey val="0"/>
          <c:showVal val="0"/>
          <c:showCatName val="0"/>
          <c:showSerName val="0"/>
          <c:showPercent val="0"/>
          <c:showBubbleSize val="0"/>
        </c:dLbls>
        <c:gapWidth val="219"/>
        <c:overlap val="-27"/>
        <c:axId val="208709823"/>
        <c:axId val="208705503"/>
      </c:barChart>
      <c:catAx>
        <c:axId val="20870982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50" b="0" i="0" u="none" strike="noStrike" kern="1200" baseline="0">
                <a:solidFill>
                  <a:schemeClr val="tx1"/>
                </a:solidFill>
                <a:latin typeface="+mn-lt"/>
                <a:ea typeface="+mn-ea"/>
                <a:cs typeface="+mn-cs"/>
              </a:defRPr>
            </a:pPr>
            <a:endParaRPr lang="en-US"/>
          </a:p>
        </c:txPr>
        <c:crossAx val="208705503"/>
        <c:crosses val="autoZero"/>
        <c:auto val="1"/>
        <c:lblAlgn val="ctr"/>
        <c:lblOffset val="100"/>
        <c:noMultiLvlLbl val="0"/>
      </c:catAx>
      <c:valAx>
        <c:axId val="208705503"/>
        <c:scaling>
          <c:orientation val="minMax"/>
          <c:min val="15"/>
        </c:scaling>
        <c:delete val="0"/>
        <c:axPos val="l"/>
        <c:title>
          <c:tx>
            <c:rich>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n-US" sz="1050">
                    <a:solidFill>
                      <a:schemeClr val="tx1"/>
                    </a:solidFill>
                  </a:rPr>
                  <a:t>CT Mean</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50" b="0" i="0" u="none" strike="noStrike" kern="1200" baseline="0">
                <a:ln>
                  <a:noFill/>
                </a:ln>
                <a:solidFill>
                  <a:schemeClr val="tx1"/>
                </a:solidFill>
                <a:latin typeface="+mn-lt"/>
                <a:ea typeface="+mn-ea"/>
                <a:cs typeface="+mn-cs"/>
              </a:defRPr>
            </a:pPr>
            <a:endParaRPr lang="en-US"/>
          </a:p>
        </c:txPr>
        <c:crossAx val="208709823"/>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Entry>
      <c:layout>
        <c:manualLayout>
          <c:xMode val="edge"/>
          <c:yMode val="edge"/>
          <c:x val="0.80669732474841216"/>
          <c:y val="0.31025322450290926"/>
          <c:w val="0.19117262842511903"/>
          <c:h val="0.1055622064449302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336196127915207E-2"/>
          <c:y val="0.16455176436278796"/>
          <c:w val="0.82892623445417013"/>
          <c:h val="0.60119897134070366"/>
        </c:manualLayout>
      </c:layout>
      <c:barChart>
        <c:barDir val="col"/>
        <c:grouping val="clustered"/>
        <c:varyColors val="0"/>
        <c:ser>
          <c:idx val="0"/>
          <c:order val="0"/>
          <c:tx>
            <c:v>Field Process</c:v>
          </c:tx>
          <c:spPr>
            <a:solidFill>
              <a:schemeClr val="accent1"/>
            </a:solidFill>
            <a:ln>
              <a:noFill/>
            </a:ln>
            <a:effectLst/>
          </c:spPr>
          <c:invertIfNegative val="0"/>
          <c:cat>
            <c:strRef>
              <c:f>'Summary for presentation'!$B$4:$B$17</c:f>
              <c:strCache>
                <c:ptCount val="14"/>
                <c:pt idx="0">
                  <c:v>AIS-4480</c:v>
                </c:pt>
                <c:pt idx="1">
                  <c:v>AIS-4481</c:v>
                </c:pt>
                <c:pt idx="2">
                  <c:v>AIS-4492</c:v>
                </c:pt>
                <c:pt idx="3">
                  <c:v>AIS-4494</c:v>
                </c:pt>
                <c:pt idx="4">
                  <c:v>AIS-4476</c:v>
                </c:pt>
                <c:pt idx="5">
                  <c:v>AIS-4477</c:v>
                </c:pt>
                <c:pt idx="6">
                  <c:v>AIS-4484</c:v>
                </c:pt>
                <c:pt idx="7">
                  <c:v>AIS-4485</c:v>
                </c:pt>
                <c:pt idx="8">
                  <c:v>AIS-4488</c:v>
                </c:pt>
                <c:pt idx="9">
                  <c:v>AIS-4489</c:v>
                </c:pt>
                <c:pt idx="10">
                  <c:v>AIS-4472</c:v>
                </c:pt>
                <c:pt idx="11">
                  <c:v>AIS-4473</c:v>
                </c:pt>
                <c:pt idx="12">
                  <c:v>AIS-4500</c:v>
                </c:pt>
                <c:pt idx="13">
                  <c:v>AIS-4501</c:v>
                </c:pt>
              </c:strCache>
            </c:strRef>
          </c:cat>
          <c:val>
            <c:numRef>
              <c:f>'Summary for presentation'!$F$4:$F$17</c:f>
              <c:numCache>
                <c:formatCode>0.0</c:formatCode>
                <c:ptCount val="14"/>
                <c:pt idx="0">
                  <c:v>27.7</c:v>
                </c:pt>
                <c:pt idx="1">
                  <c:v>27.099999999999998</c:v>
                </c:pt>
                <c:pt idx="2">
                  <c:v>27.8</c:v>
                </c:pt>
                <c:pt idx="3">
                  <c:v>28.166666666666668</c:v>
                </c:pt>
                <c:pt idx="4">
                  <c:v>28.966666666666669</c:v>
                </c:pt>
                <c:pt idx="5">
                  <c:v>28.933333333333334</c:v>
                </c:pt>
                <c:pt idx="6">
                  <c:v>26.599999999999998</c:v>
                </c:pt>
                <c:pt idx="7">
                  <c:v>26.966666666666665</c:v>
                </c:pt>
                <c:pt idx="8">
                  <c:v>27.600000000000005</c:v>
                </c:pt>
                <c:pt idx="9">
                  <c:v>26.966666666666669</c:v>
                </c:pt>
                <c:pt idx="10">
                  <c:v>27.5</c:v>
                </c:pt>
                <c:pt idx="11">
                  <c:v>26.5</c:v>
                </c:pt>
                <c:pt idx="12">
                  <c:v>27.533333333333331</c:v>
                </c:pt>
                <c:pt idx="13">
                  <c:v>27.799999999999997</c:v>
                </c:pt>
              </c:numCache>
            </c:numRef>
          </c:val>
          <c:extLst>
            <c:ext xmlns:c16="http://schemas.microsoft.com/office/drawing/2014/chart" uri="{C3380CC4-5D6E-409C-BE32-E72D297353CC}">
              <c16:uniqueId val="{00000000-E86C-4D4E-9ED9-289D2B82205E}"/>
            </c:ext>
          </c:extLst>
        </c:ser>
        <c:ser>
          <c:idx val="1"/>
          <c:order val="1"/>
          <c:tx>
            <c:v>Lab Verification</c:v>
          </c:tx>
          <c:spPr>
            <a:solidFill>
              <a:schemeClr val="accent4"/>
            </a:solidFill>
            <a:ln>
              <a:noFill/>
            </a:ln>
            <a:effectLst/>
          </c:spPr>
          <c:invertIfNegative val="0"/>
          <c:cat>
            <c:strRef>
              <c:f>'Summary for presentation'!$B$4:$B$17</c:f>
              <c:strCache>
                <c:ptCount val="14"/>
                <c:pt idx="0">
                  <c:v>AIS-4480</c:v>
                </c:pt>
                <c:pt idx="1">
                  <c:v>AIS-4481</c:v>
                </c:pt>
                <c:pt idx="2">
                  <c:v>AIS-4492</c:v>
                </c:pt>
                <c:pt idx="3">
                  <c:v>AIS-4494</c:v>
                </c:pt>
                <c:pt idx="4">
                  <c:v>AIS-4476</c:v>
                </c:pt>
                <c:pt idx="5">
                  <c:v>AIS-4477</c:v>
                </c:pt>
                <c:pt idx="6">
                  <c:v>AIS-4484</c:v>
                </c:pt>
                <c:pt idx="7">
                  <c:v>AIS-4485</c:v>
                </c:pt>
                <c:pt idx="8">
                  <c:v>AIS-4488</c:v>
                </c:pt>
                <c:pt idx="9">
                  <c:v>AIS-4489</c:v>
                </c:pt>
                <c:pt idx="10">
                  <c:v>AIS-4472</c:v>
                </c:pt>
                <c:pt idx="11">
                  <c:v>AIS-4473</c:v>
                </c:pt>
                <c:pt idx="12">
                  <c:v>AIS-4500</c:v>
                </c:pt>
                <c:pt idx="13">
                  <c:v>AIS-4501</c:v>
                </c:pt>
              </c:strCache>
            </c:strRef>
          </c:cat>
          <c:val>
            <c:numRef>
              <c:f>'Summary for presentation'!$J$4:$J$17</c:f>
              <c:numCache>
                <c:formatCode>0.0</c:formatCode>
                <c:ptCount val="14"/>
                <c:pt idx="0">
                  <c:v>27.634666666666664</c:v>
                </c:pt>
                <c:pt idx="1">
                  <c:v>27.350666666666665</c:v>
                </c:pt>
                <c:pt idx="2">
                  <c:v>26.796333333333333</c:v>
                </c:pt>
                <c:pt idx="3">
                  <c:v>27.054333333333332</c:v>
                </c:pt>
                <c:pt idx="4">
                  <c:v>27.443999999999999</c:v>
                </c:pt>
                <c:pt idx="5">
                  <c:v>28.038333333333338</c:v>
                </c:pt>
                <c:pt idx="6">
                  <c:v>27.338000000000005</c:v>
                </c:pt>
                <c:pt idx="7">
                  <c:v>27.335333333333335</c:v>
                </c:pt>
                <c:pt idx="8">
                  <c:v>27.265000000000001</c:v>
                </c:pt>
                <c:pt idx="9">
                  <c:v>27.048000000000002</c:v>
                </c:pt>
                <c:pt idx="10">
                  <c:v>26.950333333333333</c:v>
                </c:pt>
                <c:pt idx="11">
                  <c:v>24.927333333333337</c:v>
                </c:pt>
                <c:pt idx="12">
                  <c:v>26.639333333333337</c:v>
                </c:pt>
                <c:pt idx="13">
                  <c:v>26.639333333333337</c:v>
                </c:pt>
              </c:numCache>
            </c:numRef>
          </c:val>
          <c:extLst>
            <c:ext xmlns:c16="http://schemas.microsoft.com/office/drawing/2014/chart" uri="{C3380CC4-5D6E-409C-BE32-E72D297353CC}">
              <c16:uniqueId val="{00000001-E86C-4D4E-9ED9-289D2B82205E}"/>
            </c:ext>
          </c:extLst>
        </c:ser>
        <c:dLbls>
          <c:showLegendKey val="0"/>
          <c:showVal val="0"/>
          <c:showCatName val="0"/>
          <c:showSerName val="0"/>
          <c:showPercent val="0"/>
          <c:showBubbleSize val="0"/>
        </c:dLbls>
        <c:gapWidth val="219"/>
        <c:overlap val="-27"/>
        <c:axId val="166322799"/>
        <c:axId val="166338159"/>
      </c:barChart>
      <c:catAx>
        <c:axId val="16632279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166338159"/>
        <c:crosses val="autoZero"/>
        <c:auto val="1"/>
        <c:lblAlgn val="ctr"/>
        <c:lblOffset val="100"/>
        <c:noMultiLvlLbl val="0"/>
      </c:catAx>
      <c:valAx>
        <c:axId val="166338159"/>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66322799"/>
        <c:crosses val="autoZero"/>
        <c:crossBetween val="between"/>
      </c:valAx>
      <c:spPr>
        <a:noFill/>
        <a:ln>
          <a:noFill/>
        </a:ln>
        <a:effectLst/>
      </c:spPr>
    </c:plotArea>
    <c:legend>
      <c:legendPos val="r"/>
      <c:layout>
        <c:manualLayout>
          <c:xMode val="edge"/>
          <c:yMode val="edge"/>
          <c:x val="0.8723203180950807"/>
          <c:y val="0.20336910046496109"/>
          <c:w val="0.12549023704263076"/>
          <c:h val="9.187945613523776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957261</xdr:colOff>
      <xdr:row>73</xdr:row>
      <xdr:rowOff>61911</xdr:rowOff>
    </xdr:from>
    <xdr:to>
      <xdr:col>12</xdr:col>
      <xdr:colOff>57150</xdr:colOff>
      <xdr:row>90</xdr:row>
      <xdr:rowOff>76200</xdr:rowOff>
    </xdr:to>
    <xdr:graphicFrame macro="">
      <xdr:nvGraphicFramePr>
        <xdr:cNvPr id="2" name="Chart 1">
          <a:extLst>
            <a:ext uri="{FF2B5EF4-FFF2-40B4-BE49-F238E27FC236}">
              <a16:creationId xmlns:a16="http://schemas.microsoft.com/office/drawing/2014/main" id="{C61F3C2C-25BD-8C08-44AC-1F510DE80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700086</xdr:colOff>
      <xdr:row>21</xdr:row>
      <xdr:rowOff>180974</xdr:rowOff>
    </xdr:from>
    <xdr:to>
      <xdr:col>16</xdr:col>
      <xdr:colOff>428625</xdr:colOff>
      <xdr:row>46</xdr:row>
      <xdr:rowOff>133349</xdr:rowOff>
    </xdr:to>
    <xdr:graphicFrame macro="">
      <xdr:nvGraphicFramePr>
        <xdr:cNvPr id="2" name="Chart 1">
          <a:extLst>
            <a:ext uri="{FF2B5EF4-FFF2-40B4-BE49-F238E27FC236}">
              <a16:creationId xmlns:a16="http://schemas.microsoft.com/office/drawing/2014/main" id="{363B13ED-E7BD-4637-88B3-A3A1C2C59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94D2A-C51A-4263-94C3-C4453BFBD15E}">
  <dimension ref="A1:M47"/>
  <sheetViews>
    <sheetView topLeftCell="A6" workbookViewId="0">
      <selection activeCell="C19" sqref="C19:E19"/>
    </sheetView>
  </sheetViews>
  <sheetFormatPr defaultColWidth="22" defaultRowHeight="15"/>
  <cols>
    <col min="3" max="3" width="16.85546875" bestFit="1" customWidth="1"/>
    <col min="5" max="5" width="18.28515625" customWidth="1"/>
    <col min="7" max="7" width="37.7109375" customWidth="1"/>
    <col min="8" max="8" width="24.28515625" customWidth="1"/>
    <col min="9" max="9" width="63.42578125" customWidth="1"/>
  </cols>
  <sheetData>
    <row r="1" spans="1:9" ht="21">
      <c r="A1" s="231" t="s">
        <v>0</v>
      </c>
      <c r="B1" s="231"/>
      <c r="C1" s="231"/>
      <c r="D1" s="231"/>
      <c r="E1" s="231"/>
      <c r="F1" s="231"/>
      <c r="G1" s="231"/>
      <c r="H1" s="231"/>
      <c r="I1" s="231"/>
    </row>
    <row r="2" spans="1:9" ht="45">
      <c r="A2" s="1" t="s">
        <v>1</v>
      </c>
      <c r="B2" s="1" t="s">
        <v>2</v>
      </c>
      <c r="C2" s="1" t="s">
        <v>3</v>
      </c>
      <c r="D2" s="1" t="s">
        <v>4</v>
      </c>
      <c r="E2" s="1" t="s">
        <v>5</v>
      </c>
      <c r="F2" s="1" t="s">
        <v>6</v>
      </c>
      <c r="G2" s="1" t="s">
        <v>7</v>
      </c>
      <c r="H2" s="1" t="s">
        <v>8</v>
      </c>
      <c r="I2" s="1" t="s">
        <v>9</v>
      </c>
    </row>
    <row r="3" spans="1:9">
      <c r="A3" s="32" t="s">
        <v>10</v>
      </c>
      <c r="B3" s="32" t="s">
        <v>11</v>
      </c>
      <c r="C3" s="32" t="s">
        <v>12</v>
      </c>
      <c r="D3" s="32" t="s">
        <v>13</v>
      </c>
      <c r="E3" s="32" t="s">
        <v>14</v>
      </c>
      <c r="F3" s="33">
        <v>45673</v>
      </c>
      <c r="G3" s="32" t="s">
        <v>15</v>
      </c>
      <c r="H3" s="232" t="s">
        <v>16</v>
      </c>
      <c r="I3" s="34"/>
    </row>
    <row r="4" spans="1:9">
      <c r="A4" s="32" t="s">
        <v>10</v>
      </c>
      <c r="B4" s="32" t="s">
        <v>17</v>
      </c>
      <c r="C4" s="32" t="s">
        <v>12</v>
      </c>
      <c r="D4" s="32" t="s">
        <v>13</v>
      </c>
      <c r="E4" s="32" t="s">
        <v>14</v>
      </c>
      <c r="F4" s="33">
        <v>45673</v>
      </c>
      <c r="G4" s="32" t="s">
        <v>15</v>
      </c>
      <c r="H4" s="233"/>
      <c r="I4" s="34"/>
    </row>
    <row r="5" spans="1:9">
      <c r="A5" s="32" t="s">
        <v>10</v>
      </c>
      <c r="B5" s="32" t="s">
        <v>18</v>
      </c>
      <c r="C5" s="32" t="s">
        <v>12</v>
      </c>
      <c r="D5" s="32" t="s">
        <v>13</v>
      </c>
      <c r="E5" s="32" t="s">
        <v>14</v>
      </c>
      <c r="F5" s="33">
        <v>45673</v>
      </c>
      <c r="G5" s="32" t="s">
        <v>15</v>
      </c>
      <c r="H5" s="233"/>
      <c r="I5" s="34"/>
    </row>
    <row r="6" spans="1:9">
      <c r="A6" s="32" t="s">
        <v>10</v>
      </c>
      <c r="B6" s="32" t="s">
        <v>19</v>
      </c>
      <c r="C6" s="32" t="s">
        <v>12</v>
      </c>
      <c r="D6" s="32" t="s">
        <v>20</v>
      </c>
      <c r="E6" s="32" t="s">
        <v>14</v>
      </c>
      <c r="F6" s="33">
        <v>45673</v>
      </c>
      <c r="G6" s="32" t="s">
        <v>15</v>
      </c>
      <c r="H6" s="233"/>
      <c r="I6" s="34"/>
    </row>
    <row r="7" spans="1:9">
      <c r="A7" s="32" t="s">
        <v>10</v>
      </c>
      <c r="B7" s="32" t="s">
        <v>21</v>
      </c>
      <c r="C7" s="35" t="s">
        <v>22</v>
      </c>
      <c r="D7" s="32" t="s">
        <v>23</v>
      </c>
      <c r="E7" s="32" t="s">
        <v>14</v>
      </c>
      <c r="F7" s="33">
        <v>45673</v>
      </c>
      <c r="G7" s="32" t="s">
        <v>15</v>
      </c>
      <c r="H7" s="234"/>
      <c r="I7" s="34"/>
    </row>
    <row r="9" spans="1:9">
      <c r="A9" s="26" t="s">
        <v>24</v>
      </c>
    </row>
    <row r="12" spans="1:9" ht="15.75" thickBot="1"/>
    <row r="13" spans="1:9" ht="15.75" thickBot="1">
      <c r="A13" s="235" t="s">
        <v>25</v>
      </c>
      <c r="B13" s="236"/>
      <c r="C13" s="236"/>
      <c r="D13" s="236"/>
      <c r="E13" s="236"/>
      <c r="F13" s="236"/>
      <c r="G13" s="237"/>
    </row>
    <row r="14" spans="1:9" ht="15.75" thickBot="1">
      <c r="A14" s="238" t="s">
        <v>26</v>
      </c>
      <c r="B14" s="239"/>
      <c r="C14" s="239"/>
      <c r="D14" s="239"/>
      <c r="E14" s="239"/>
      <c r="F14" s="239"/>
      <c r="G14" s="240"/>
    </row>
    <row r="15" spans="1:9" ht="30">
      <c r="A15" s="6" t="s">
        <v>2</v>
      </c>
      <c r="B15" s="7" t="s">
        <v>27</v>
      </c>
      <c r="C15" s="7" t="s">
        <v>28</v>
      </c>
      <c r="D15" s="7" t="s">
        <v>29</v>
      </c>
      <c r="E15" s="7" t="s">
        <v>30</v>
      </c>
      <c r="F15" s="36" t="s">
        <v>31</v>
      </c>
      <c r="G15" s="8" t="s">
        <v>9</v>
      </c>
    </row>
    <row r="16" spans="1:9">
      <c r="A16" s="9" t="s">
        <v>32</v>
      </c>
      <c r="B16" s="3" t="s">
        <v>33</v>
      </c>
      <c r="C16" s="10">
        <v>21.6</v>
      </c>
      <c r="D16" s="10">
        <v>21.7</v>
      </c>
      <c r="E16" s="11" t="s">
        <v>34</v>
      </c>
      <c r="F16" s="37" t="s">
        <v>35</v>
      </c>
      <c r="G16" s="39"/>
    </row>
    <row r="17" spans="1:12">
      <c r="A17" s="9" t="s">
        <v>36</v>
      </c>
      <c r="B17" s="3" t="s">
        <v>33</v>
      </c>
      <c r="C17" s="10">
        <v>36.1</v>
      </c>
      <c r="D17" s="10">
        <v>36.200000000000003</v>
      </c>
      <c r="E17" s="11" t="s">
        <v>34</v>
      </c>
      <c r="F17" s="37" t="s">
        <v>35</v>
      </c>
      <c r="G17" s="39"/>
    </row>
    <row r="18" spans="1:12">
      <c r="A18" s="55" t="s">
        <v>37</v>
      </c>
      <c r="B18" s="3" t="s">
        <v>33</v>
      </c>
      <c r="C18" s="10">
        <v>27.7</v>
      </c>
      <c r="D18" s="10">
        <v>27.5</v>
      </c>
      <c r="E18" s="10">
        <v>27.9</v>
      </c>
      <c r="F18" s="37" t="s">
        <v>35</v>
      </c>
      <c r="G18" s="39"/>
    </row>
    <row r="19" spans="1:12" ht="45">
      <c r="A19" s="55" t="s">
        <v>38</v>
      </c>
      <c r="B19" s="3" t="s">
        <v>33</v>
      </c>
      <c r="C19" s="10">
        <v>28.5</v>
      </c>
      <c r="D19" s="10" t="s">
        <v>39</v>
      </c>
      <c r="E19" s="10">
        <v>27</v>
      </c>
      <c r="F19" s="37" t="s">
        <v>35</v>
      </c>
      <c r="G19" s="40" t="s">
        <v>40</v>
      </c>
    </row>
    <row r="20" spans="1:12">
      <c r="A20" s="55" t="s">
        <v>41</v>
      </c>
      <c r="B20" s="3" t="s">
        <v>33</v>
      </c>
      <c r="C20" s="10" t="s">
        <v>42</v>
      </c>
      <c r="D20" s="10" t="s">
        <v>42</v>
      </c>
      <c r="E20" s="11" t="s">
        <v>34</v>
      </c>
      <c r="F20" s="37" t="s">
        <v>35</v>
      </c>
      <c r="G20" s="39"/>
    </row>
    <row r="21" spans="1:12">
      <c r="A21" s="9" t="s">
        <v>43</v>
      </c>
      <c r="B21" s="3" t="s">
        <v>33</v>
      </c>
      <c r="C21" s="10" t="s">
        <v>42</v>
      </c>
      <c r="D21" s="10" t="s">
        <v>42</v>
      </c>
      <c r="E21" s="11" t="s">
        <v>34</v>
      </c>
      <c r="F21" s="37" t="s">
        <v>35</v>
      </c>
      <c r="G21" s="39"/>
    </row>
    <row r="22" spans="1:12" ht="15.75" thickBot="1">
      <c r="A22" s="13" t="s">
        <v>44</v>
      </c>
      <c r="B22" s="14" t="s">
        <v>33</v>
      </c>
      <c r="C22" s="15" t="s">
        <v>42</v>
      </c>
      <c r="D22" s="15" t="s">
        <v>42</v>
      </c>
      <c r="E22" s="16" t="s">
        <v>34</v>
      </c>
      <c r="F22" s="38" t="s">
        <v>35</v>
      </c>
      <c r="G22" s="41"/>
    </row>
    <row r="30" spans="1:12" ht="15.75" thickBot="1"/>
    <row r="31" spans="1:12" ht="15.75" thickBot="1">
      <c r="A31" s="235" t="s">
        <v>45</v>
      </c>
      <c r="B31" s="236"/>
      <c r="C31" s="236"/>
      <c r="D31" s="236"/>
      <c r="E31" s="236"/>
      <c r="F31" s="236"/>
      <c r="G31" s="236"/>
      <c r="H31" s="236"/>
      <c r="I31" s="236"/>
      <c r="J31" s="236"/>
      <c r="K31" s="236"/>
      <c r="L31" s="237"/>
    </row>
    <row r="32" spans="1:12" ht="45.75" thickBot="1">
      <c r="A32" s="58" t="s">
        <v>2</v>
      </c>
      <c r="B32" s="59" t="s">
        <v>46</v>
      </c>
      <c r="C32" s="59" t="s">
        <v>47</v>
      </c>
      <c r="D32" s="59" t="s">
        <v>27</v>
      </c>
      <c r="E32" s="59" t="s">
        <v>28</v>
      </c>
      <c r="F32" s="59" t="s">
        <v>29</v>
      </c>
      <c r="G32" s="59" t="s">
        <v>30</v>
      </c>
      <c r="H32" s="59" t="s">
        <v>31</v>
      </c>
      <c r="I32" s="59" t="s">
        <v>27</v>
      </c>
      <c r="J32" s="59" t="s">
        <v>28</v>
      </c>
      <c r="K32" s="59" t="s">
        <v>29</v>
      </c>
      <c r="L32" s="60" t="s">
        <v>30</v>
      </c>
    </row>
    <row r="33" spans="1:13">
      <c r="A33" s="61" t="s">
        <v>32</v>
      </c>
      <c r="B33" s="62"/>
      <c r="C33" s="62"/>
      <c r="D33" s="62" t="s">
        <v>33</v>
      </c>
      <c r="E33" s="71">
        <v>20.462787628173828</v>
      </c>
      <c r="F33" s="71">
        <v>20.478761672973633</v>
      </c>
      <c r="G33" s="71">
        <v>20.399045944213867</v>
      </c>
      <c r="H33" s="70"/>
      <c r="I33" s="70"/>
      <c r="J33" s="71"/>
      <c r="K33" s="71"/>
      <c r="L33" s="72"/>
    </row>
    <row r="34" spans="1:13">
      <c r="A34" s="9" t="s">
        <v>48</v>
      </c>
      <c r="B34" s="10"/>
      <c r="C34" s="10"/>
      <c r="D34" s="10" t="s">
        <v>33</v>
      </c>
      <c r="E34" s="69">
        <v>24.069675445556641</v>
      </c>
      <c r="F34" s="69">
        <v>24.055591583251953</v>
      </c>
      <c r="G34" s="69">
        <v>23.990074157714844</v>
      </c>
      <c r="H34" s="73"/>
      <c r="I34" s="73"/>
      <c r="J34" s="69"/>
      <c r="K34" s="69"/>
      <c r="L34" s="74"/>
    </row>
    <row r="35" spans="1:13">
      <c r="A35" s="9" t="s">
        <v>49</v>
      </c>
      <c r="B35" s="10"/>
      <c r="C35" s="10"/>
      <c r="D35" s="10" t="s">
        <v>33</v>
      </c>
      <c r="E35" s="69">
        <v>27.449230194091797</v>
      </c>
      <c r="F35" s="69">
        <v>27.377090454101563</v>
      </c>
      <c r="G35" s="69">
        <v>27.35333251953125</v>
      </c>
      <c r="H35" s="73"/>
      <c r="I35" s="73"/>
      <c r="J35" s="69"/>
      <c r="K35" s="69"/>
      <c r="L35" s="74"/>
    </row>
    <row r="36" spans="1:13">
      <c r="A36" s="9" t="s">
        <v>50</v>
      </c>
      <c r="B36" s="10"/>
      <c r="C36" s="10"/>
      <c r="D36" s="10" t="s">
        <v>33</v>
      </c>
      <c r="E36" s="69">
        <v>30.629251480102539</v>
      </c>
      <c r="F36" s="69">
        <v>30.56471061706543</v>
      </c>
      <c r="G36" s="69">
        <v>30.634933471679688</v>
      </c>
      <c r="H36" s="73"/>
      <c r="I36" s="73"/>
      <c r="J36" s="69"/>
      <c r="K36" s="69"/>
      <c r="L36" s="74"/>
    </row>
    <row r="37" spans="1:13">
      <c r="A37" s="9" t="s">
        <v>36</v>
      </c>
      <c r="B37" s="10"/>
      <c r="C37" s="10"/>
      <c r="D37" s="10" t="s">
        <v>33</v>
      </c>
      <c r="E37" s="69">
        <v>34.271244049072266</v>
      </c>
      <c r="F37" s="69">
        <v>33.610923767089844</v>
      </c>
      <c r="G37" s="69">
        <v>33.856788635253906</v>
      </c>
      <c r="H37" s="73"/>
      <c r="I37" s="73"/>
      <c r="J37" s="69"/>
      <c r="K37" s="69"/>
      <c r="L37" s="74"/>
    </row>
    <row r="38" spans="1:13">
      <c r="A38" s="9" t="s">
        <v>51</v>
      </c>
      <c r="B38" s="10"/>
      <c r="C38" s="10"/>
      <c r="D38" s="10" t="s">
        <v>33</v>
      </c>
      <c r="E38" s="69">
        <v>36.108188629150391</v>
      </c>
      <c r="F38" s="69">
        <v>38.974224090576172</v>
      </c>
      <c r="G38" s="69">
        <v>36.846538543701172</v>
      </c>
      <c r="H38" s="73"/>
      <c r="I38" s="73"/>
      <c r="J38" s="69"/>
      <c r="K38" s="69"/>
      <c r="L38" s="74"/>
    </row>
    <row r="39" spans="1:13">
      <c r="A39" s="9" t="s">
        <v>52</v>
      </c>
      <c r="B39" s="10" t="s">
        <v>53</v>
      </c>
      <c r="C39" s="10"/>
      <c r="D39" s="10" t="s">
        <v>33</v>
      </c>
      <c r="E39" s="69">
        <v>27.703668594360352</v>
      </c>
      <c r="F39" s="69">
        <v>27.636062622070313</v>
      </c>
      <c r="G39" s="69">
        <v>27.563652038574219</v>
      </c>
      <c r="H39" s="73" t="s">
        <v>54</v>
      </c>
      <c r="I39" s="73" t="s">
        <v>55</v>
      </c>
      <c r="J39" s="69">
        <v>29.187246322631836</v>
      </c>
      <c r="K39" s="69">
        <v>29.12255859375</v>
      </c>
      <c r="L39" s="74">
        <v>28.992897033691406</v>
      </c>
    </row>
    <row r="40" spans="1:13">
      <c r="A40" s="9" t="s">
        <v>37</v>
      </c>
      <c r="B40" s="10" t="s">
        <v>14</v>
      </c>
      <c r="C40" s="10"/>
      <c r="D40" s="10" t="s">
        <v>33</v>
      </c>
      <c r="E40" s="69">
        <v>27.843072891235352</v>
      </c>
      <c r="F40" s="69">
        <v>27.818902969360352</v>
      </c>
      <c r="G40" s="69">
        <v>27.890119552612305</v>
      </c>
      <c r="H40" s="73" t="s">
        <v>54</v>
      </c>
      <c r="I40" s="73" t="s">
        <v>55</v>
      </c>
      <c r="J40" s="69">
        <v>28.992633819580078</v>
      </c>
      <c r="K40" s="69">
        <v>29.061651229858398</v>
      </c>
      <c r="L40" s="74">
        <v>29.069692611694336</v>
      </c>
      <c r="M40" s="68"/>
    </row>
    <row r="41" spans="1:13">
      <c r="A41" s="9" t="s">
        <v>56</v>
      </c>
      <c r="B41" s="10" t="s">
        <v>53</v>
      </c>
      <c r="C41" s="10"/>
      <c r="D41" s="10" t="s">
        <v>33</v>
      </c>
      <c r="E41" s="69">
        <v>27.348304748535156</v>
      </c>
      <c r="F41" s="69">
        <v>27.434045791625977</v>
      </c>
      <c r="G41" s="69">
        <v>27.270183563232422</v>
      </c>
      <c r="H41" s="73" t="s">
        <v>54</v>
      </c>
      <c r="I41" s="73" t="s">
        <v>55</v>
      </c>
      <c r="J41" s="69">
        <v>28.978864669799805</v>
      </c>
      <c r="K41" s="69">
        <v>29.283401489257813</v>
      </c>
      <c r="L41" s="74">
        <v>28.986063003540039</v>
      </c>
    </row>
    <row r="42" spans="1:13">
      <c r="A42" s="9" t="s">
        <v>38</v>
      </c>
      <c r="B42" s="19" t="s">
        <v>14</v>
      </c>
      <c r="C42" s="19"/>
      <c r="D42" s="10" t="s">
        <v>33</v>
      </c>
      <c r="E42" s="69">
        <v>27.2281494140625</v>
      </c>
      <c r="F42" s="69">
        <v>27.163808822631836</v>
      </c>
      <c r="G42" s="69">
        <v>27.182060241699219</v>
      </c>
      <c r="H42" s="73" t="s">
        <v>54</v>
      </c>
      <c r="I42" s="73" t="s">
        <v>55</v>
      </c>
      <c r="J42" s="69">
        <v>29.066606521606445</v>
      </c>
      <c r="K42" s="69">
        <v>28.973678588867188</v>
      </c>
      <c r="L42" s="74">
        <v>29.048349380493164</v>
      </c>
    </row>
    <row r="43" spans="1:13" s="23" customFormat="1">
      <c r="A43" s="20" t="s">
        <v>57</v>
      </c>
      <c r="B43" s="21" t="s">
        <v>53</v>
      </c>
      <c r="C43" s="21"/>
      <c r="D43" s="22" t="s">
        <v>33</v>
      </c>
      <c r="E43" s="75" t="s">
        <v>42</v>
      </c>
      <c r="F43" s="75" t="s">
        <v>42</v>
      </c>
      <c r="G43" s="75" t="s">
        <v>42</v>
      </c>
      <c r="H43" s="75" t="s">
        <v>54</v>
      </c>
      <c r="I43" s="75" t="s">
        <v>55</v>
      </c>
      <c r="J43" s="69">
        <v>29.740385055541992</v>
      </c>
      <c r="K43" s="69">
        <v>29.765979766845703</v>
      </c>
      <c r="L43" s="74">
        <v>29.824121475219727</v>
      </c>
    </row>
    <row r="44" spans="1:13" s="23" customFormat="1">
      <c r="A44" s="20" t="s">
        <v>41</v>
      </c>
      <c r="B44" s="21" t="s">
        <v>14</v>
      </c>
      <c r="C44" s="21"/>
      <c r="D44" s="22" t="s">
        <v>33</v>
      </c>
      <c r="E44" s="75" t="s">
        <v>42</v>
      </c>
      <c r="F44" s="75" t="s">
        <v>42</v>
      </c>
      <c r="G44" s="75" t="s">
        <v>42</v>
      </c>
      <c r="H44" s="75" t="s">
        <v>54</v>
      </c>
      <c r="I44" s="75" t="s">
        <v>55</v>
      </c>
      <c r="J44" s="69">
        <v>29.843173980712891</v>
      </c>
      <c r="K44" s="69">
        <v>29.586936950683594</v>
      </c>
      <c r="L44" s="74">
        <v>29.615602493286133</v>
      </c>
    </row>
    <row r="45" spans="1:13" s="23" customFormat="1">
      <c r="A45" s="24" t="s">
        <v>43</v>
      </c>
      <c r="B45" s="21" t="s">
        <v>14</v>
      </c>
      <c r="C45" s="21"/>
      <c r="D45" s="22" t="s">
        <v>33</v>
      </c>
      <c r="E45" s="75"/>
      <c r="F45" s="75"/>
      <c r="G45" s="75"/>
      <c r="H45" s="75" t="s">
        <v>54</v>
      </c>
      <c r="I45" s="75" t="s">
        <v>55</v>
      </c>
      <c r="J45" s="75"/>
      <c r="K45" s="75"/>
      <c r="L45" s="76"/>
    </row>
    <row r="46" spans="1:13" s="23" customFormat="1">
      <c r="A46" s="20" t="s">
        <v>58</v>
      </c>
      <c r="B46" s="21" t="s">
        <v>53</v>
      </c>
      <c r="C46" s="21"/>
      <c r="D46" s="22" t="s">
        <v>33</v>
      </c>
      <c r="E46" s="75" t="s">
        <v>42</v>
      </c>
      <c r="F46" s="75" t="s">
        <v>42</v>
      </c>
      <c r="G46" s="75" t="s">
        <v>42</v>
      </c>
      <c r="H46" s="75" t="s">
        <v>54</v>
      </c>
      <c r="I46" s="75" t="s">
        <v>55</v>
      </c>
      <c r="J46" s="69">
        <v>29.814973831176758</v>
      </c>
      <c r="K46" s="69">
        <v>29.537591934204102</v>
      </c>
      <c r="L46" s="74">
        <v>29.464000701904297</v>
      </c>
    </row>
    <row r="47" spans="1:13" ht="15.75" thickBot="1">
      <c r="A47" s="13" t="s">
        <v>44</v>
      </c>
      <c r="B47" s="15"/>
      <c r="C47" s="15"/>
      <c r="D47" s="15" t="s">
        <v>33</v>
      </c>
      <c r="E47" s="77" t="s">
        <v>42</v>
      </c>
      <c r="F47" s="77" t="s">
        <v>42</v>
      </c>
      <c r="G47" s="77" t="s">
        <v>42</v>
      </c>
      <c r="H47" s="78" t="s">
        <v>54</v>
      </c>
      <c r="I47" s="78" t="s">
        <v>55</v>
      </c>
      <c r="J47" s="79">
        <v>29.699832916259766</v>
      </c>
      <c r="K47" s="79">
        <v>29.82636833190918</v>
      </c>
      <c r="L47" s="80">
        <v>29.798866271972656</v>
      </c>
    </row>
  </sheetData>
  <mergeCells count="5">
    <mergeCell ref="A1:I1"/>
    <mergeCell ref="H3:H7"/>
    <mergeCell ref="A31:L31"/>
    <mergeCell ref="A14:G14"/>
    <mergeCell ref="A13:G13"/>
  </mergeCells>
  <pageMargins left="0.7" right="0.7" top="0.75" bottom="0.75" header="0.3" footer="0.3"/>
  <headerFooter>
    <oddHeader>&amp;R&amp;"Aptos"&amp;12&amp;K000000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14D48-1C03-4511-A63A-4BDEE08D85D8}">
  <dimension ref="A1:L47"/>
  <sheetViews>
    <sheetView topLeftCell="A12" workbookViewId="0">
      <selection activeCell="C19" sqref="C19:E19"/>
    </sheetView>
  </sheetViews>
  <sheetFormatPr defaultColWidth="22" defaultRowHeight="15"/>
  <cols>
    <col min="3" max="3" width="16.85546875" bestFit="1" customWidth="1"/>
    <col min="5" max="5" width="14.28515625" customWidth="1"/>
    <col min="9" max="9" width="93.140625" customWidth="1"/>
  </cols>
  <sheetData>
    <row r="1" spans="1:9" ht="21">
      <c r="A1" s="231" t="s">
        <v>0</v>
      </c>
      <c r="B1" s="231"/>
      <c r="C1" s="231"/>
      <c r="D1" s="231"/>
      <c r="E1" s="231"/>
      <c r="F1" s="231"/>
      <c r="G1" s="231"/>
      <c r="H1" s="231"/>
      <c r="I1" s="231"/>
    </row>
    <row r="2" spans="1:9" ht="60">
      <c r="A2" s="1" t="s">
        <v>1</v>
      </c>
      <c r="B2" s="1" t="s">
        <v>2</v>
      </c>
      <c r="C2" s="1" t="s">
        <v>3</v>
      </c>
      <c r="D2" s="1" t="s">
        <v>4</v>
      </c>
      <c r="E2" s="1" t="s">
        <v>5</v>
      </c>
      <c r="F2" s="1" t="s">
        <v>6</v>
      </c>
      <c r="G2" s="1" t="s">
        <v>7</v>
      </c>
      <c r="H2" s="1" t="s">
        <v>8</v>
      </c>
      <c r="I2" s="1" t="s">
        <v>9</v>
      </c>
    </row>
    <row r="3" spans="1:9">
      <c r="A3" s="3" t="s">
        <v>10</v>
      </c>
      <c r="B3" s="10" t="s">
        <v>59</v>
      </c>
      <c r="C3" s="10" t="s">
        <v>12</v>
      </c>
      <c r="D3" s="10" t="s">
        <v>13</v>
      </c>
      <c r="E3" s="10" t="s">
        <v>14</v>
      </c>
      <c r="F3" s="42">
        <v>45677</v>
      </c>
      <c r="G3" s="10" t="s">
        <v>60</v>
      </c>
      <c r="H3" s="232" t="s">
        <v>16</v>
      </c>
      <c r="I3" s="5"/>
    </row>
    <row r="4" spans="1:9">
      <c r="A4" s="3" t="s">
        <v>10</v>
      </c>
      <c r="B4" s="10" t="s">
        <v>61</v>
      </c>
      <c r="C4" s="10" t="s">
        <v>12</v>
      </c>
      <c r="D4" s="10" t="s">
        <v>13</v>
      </c>
      <c r="E4" s="10" t="s">
        <v>14</v>
      </c>
      <c r="F4" s="42">
        <v>45677</v>
      </c>
      <c r="G4" s="10" t="s">
        <v>60</v>
      </c>
      <c r="H4" s="233"/>
      <c r="I4" s="5"/>
    </row>
    <row r="5" spans="1:9">
      <c r="A5" s="3" t="s">
        <v>10</v>
      </c>
      <c r="B5" s="10" t="s">
        <v>62</v>
      </c>
      <c r="C5" s="10" t="s">
        <v>12</v>
      </c>
      <c r="D5" s="10" t="s">
        <v>13</v>
      </c>
      <c r="E5" s="10" t="s">
        <v>14</v>
      </c>
      <c r="F5" s="42">
        <v>45677</v>
      </c>
      <c r="G5" s="10" t="s">
        <v>60</v>
      </c>
      <c r="H5" s="233"/>
      <c r="I5" s="5"/>
    </row>
    <row r="6" spans="1:9">
      <c r="A6" s="3" t="s">
        <v>10</v>
      </c>
      <c r="B6" s="10" t="s">
        <v>63</v>
      </c>
      <c r="C6" s="10" t="s">
        <v>12</v>
      </c>
      <c r="D6" s="10" t="s">
        <v>20</v>
      </c>
      <c r="E6" s="10" t="s">
        <v>14</v>
      </c>
      <c r="F6" s="42">
        <v>45677</v>
      </c>
      <c r="G6" s="10" t="s">
        <v>60</v>
      </c>
      <c r="H6" s="233"/>
      <c r="I6" s="5"/>
    </row>
    <row r="7" spans="1:9">
      <c r="A7" s="3" t="s">
        <v>10</v>
      </c>
      <c r="B7" s="10" t="s">
        <v>21</v>
      </c>
      <c r="C7" s="11" t="s">
        <v>34</v>
      </c>
      <c r="D7" s="10" t="s">
        <v>23</v>
      </c>
      <c r="E7" s="10" t="s">
        <v>14</v>
      </c>
      <c r="F7" s="42">
        <v>45677</v>
      </c>
      <c r="G7" s="10" t="s">
        <v>60</v>
      </c>
      <c r="H7" s="234"/>
      <c r="I7" s="5"/>
    </row>
    <row r="9" spans="1:9">
      <c r="A9" s="26" t="s">
        <v>64</v>
      </c>
    </row>
    <row r="12" spans="1:9" ht="15.75" thickBot="1"/>
    <row r="13" spans="1:9" ht="15.75" thickBot="1">
      <c r="A13" s="235" t="s">
        <v>25</v>
      </c>
      <c r="B13" s="236"/>
      <c r="C13" s="236"/>
      <c r="D13" s="236"/>
      <c r="E13" s="236"/>
      <c r="F13" s="237"/>
    </row>
    <row r="14" spans="1:9" ht="15.75" customHeight="1" thickBot="1">
      <c r="A14" s="238" t="s">
        <v>65</v>
      </c>
      <c r="B14" s="239"/>
      <c r="C14" s="239"/>
      <c r="D14" s="239"/>
      <c r="E14" s="239"/>
      <c r="F14" s="240"/>
      <c r="H14" s="241" t="s">
        <v>66</v>
      </c>
      <c r="I14" s="241"/>
    </row>
    <row r="15" spans="1:9" ht="30">
      <c r="A15" s="6" t="s">
        <v>2</v>
      </c>
      <c r="B15" s="7" t="s">
        <v>27</v>
      </c>
      <c r="C15" s="7" t="s">
        <v>28</v>
      </c>
      <c r="D15" s="7" t="s">
        <v>29</v>
      </c>
      <c r="E15" s="7" t="s">
        <v>30</v>
      </c>
      <c r="F15" s="8" t="s">
        <v>31</v>
      </c>
      <c r="H15" s="241"/>
      <c r="I15" s="241"/>
    </row>
    <row r="16" spans="1:9">
      <c r="A16" s="9" t="s">
        <v>32</v>
      </c>
      <c r="B16" s="3" t="s">
        <v>33</v>
      </c>
      <c r="C16" s="10">
        <v>21.8</v>
      </c>
      <c r="D16" s="10">
        <v>21.7</v>
      </c>
      <c r="E16" s="11" t="s">
        <v>34</v>
      </c>
      <c r="F16" s="12" t="s">
        <v>35</v>
      </c>
      <c r="H16" s="241"/>
      <c r="I16" s="241"/>
    </row>
    <row r="17" spans="1:12">
      <c r="A17" s="9" t="s">
        <v>36</v>
      </c>
      <c r="B17" s="3" t="s">
        <v>33</v>
      </c>
      <c r="C17" s="10">
        <v>36.1</v>
      </c>
      <c r="D17" s="10">
        <v>35.6</v>
      </c>
      <c r="E17" s="11" t="s">
        <v>34</v>
      </c>
      <c r="F17" s="12" t="s">
        <v>35</v>
      </c>
      <c r="H17" s="241"/>
      <c r="I17" s="241"/>
    </row>
    <row r="18" spans="1:12">
      <c r="A18" s="55" t="s">
        <v>67</v>
      </c>
      <c r="B18" s="3" t="s">
        <v>33</v>
      </c>
      <c r="C18" s="10">
        <v>26.9</v>
      </c>
      <c r="D18" s="10">
        <v>26.6</v>
      </c>
      <c r="E18" s="10">
        <v>26.3</v>
      </c>
      <c r="F18" s="12" t="s">
        <v>35</v>
      </c>
      <c r="H18" s="241"/>
      <c r="I18" s="241"/>
    </row>
    <row r="19" spans="1:12">
      <c r="A19" s="55" t="s">
        <v>68</v>
      </c>
      <c r="B19" s="3" t="s">
        <v>33</v>
      </c>
      <c r="C19" s="10">
        <v>27.2</v>
      </c>
      <c r="D19" s="10">
        <v>26.4</v>
      </c>
      <c r="E19" s="10">
        <v>27.3</v>
      </c>
      <c r="F19" s="12" t="s">
        <v>35</v>
      </c>
      <c r="H19" s="241"/>
      <c r="I19" s="241"/>
    </row>
    <row r="20" spans="1:12">
      <c r="A20" s="55" t="s">
        <v>69</v>
      </c>
      <c r="B20" s="3" t="s">
        <v>33</v>
      </c>
      <c r="C20" s="10" t="s">
        <v>42</v>
      </c>
      <c r="D20" s="10" t="s">
        <v>42</v>
      </c>
      <c r="E20" s="11" t="s">
        <v>34</v>
      </c>
      <c r="F20" s="12" t="s">
        <v>35</v>
      </c>
      <c r="H20" s="241"/>
      <c r="I20" s="241"/>
    </row>
    <row r="21" spans="1:12">
      <c r="A21" s="9" t="s">
        <v>43</v>
      </c>
      <c r="B21" s="3" t="s">
        <v>33</v>
      </c>
      <c r="C21" s="10" t="s">
        <v>42</v>
      </c>
      <c r="D21" s="10" t="s">
        <v>42</v>
      </c>
      <c r="E21" s="11" t="s">
        <v>34</v>
      </c>
      <c r="F21" s="12" t="s">
        <v>35</v>
      </c>
      <c r="H21" s="241"/>
      <c r="I21" s="241"/>
    </row>
    <row r="22" spans="1:12" ht="15.75" thickBot="1">
      <c r="A22" s="13" t="s">
        <v>44</v>
      </c>
      <c r="B22" s="14" t="s">
        <v>33</v>
      </c>
      <c r="C22" s="15" t="s">
        <v>42</v>
      </c>
      <c r="D22" s="15" t="s">
        <v>42</v>
      </c>
      <c r="E22" s="16" t="s">
        <v>34</v>
      </c>
      <c r="F22" s="17" t="s">
        <v>35</v>
      </c>
      <c r="H22" s="241"/>
      <c r="I22" s="241"/>
    </row>
    <row r="30" spans="1:12" ht="15.75" thickBot="1"/>
    <row r="31" spans="1:12" ht="15.75" thickBot="1">
      <c r="A31" s="235" t="s">
        <v>45</v>
      </c>
      <c r="B31" s="236"/>
      <c r="C31" s="236"/>
      <c r="D31" s="236"/>
      <c r="E31" s="236"/>
      <c r="F31" s="236"/>
      <c r="G31" s="236"/>
      <c r="H31" s="236"/>
      <c r="I31" s="236"/>
      <c r="J31" s="236"/>
      <c r="K31" s="236"/>
      <c r="L31" s="237"/>
    </row>
    <row r="32" spans="1:12" ht="45.75" thickBot="1">
      <c r="A32" s="58" t="s">
        <v>2</v>
      </c>
      <c r="B32" s="59" t="s">
        <v>70</v>
      </c>
      <c r="C32" s="59" t="s">
        <v>47</v>
      </c>
      <c r="D32" s="59" t="s">
        <v>27</v>
      </c>
      <c r="E32" s="59" t="s">
        <v>28</v>
      </c>
      <c r="F32" s="59" t="s">
        <v>29</v>
      </c>
      <c r="G32" s="59" t="s">
        <v>30</v>
      </c>
      <c r="H32" s="59" t="s">
        <v>31</v>
      </c>
      <c r="I32" s="59" t="s">
        <v>27</v>
      </c>
      <c r="J32" s="59" t="s">
        <v>28</v>
      </c>
      <c r="K32" s="59" t="s">
        <v>29</v>
      </c>
      <c r="L32" s="60" t="s">
        <v>30</v>
      </c>
    </row>
    <row r="33" spans="1:12">
      <c r="A33" s="61" t="s">
        <v>32</v>
      </c>
      <c r="B33" s="62"/>
      <c r="C33" s="62"/>
      <c r="D33" s="62" t="s">
        <v>33</v>
      </c>
      <c r="E33" s="69">
        <v>20.462787628173828</v>
      </c>
      <c r="F33" s="69">
        <v>20.478761672973633</v>
      </c>
      <c r="G33" s="69">
        <v>20.399045944213867</v>
      </c>
      <c r="H33" s="73"/>
      <c r="I33" s="73"/>
      <c r="J33" s="73"/>
      <c r="K33" s="73"/>
      <c r="L33" s="81"/>
    </row>
    <row r="34" spans="1:12">
      <c r="A34" s="9" t="s">
        <v>48</v>
      </c>
      <c r="B34" s="10"/>
      <c r="C34" s="10"/>
      <c r="D34" s="10" t="s">
        <v>33</v>
      </c>
      <c r="E34" s="69">
        <v>24.069675445556641</v>
      </c>
      <c r="F34" s="69">
        <v>24.055591583251953</v>
      </c>
      <c r="G34" s="69">
        <v>23.990074157714844</v>
      </c>
      <c r="H34" s="73"/>
      <c r="I34" s="73"/>
      <c r="J34" s="73"/>
      <c r="K34" s="73"/>
      <c r="L34" s="81"/>
    </row>
    <row r="35" spans="1:12">
      <c r="A35" s="9" t="s">
        <v>49</v>
      </c>
      <c r="B35" s="10"/>
      <c r="C35" s="10"/>
      <c r="D35" s="10" t="s">
        <v>33</v>
      </c>
      <c r="E35" s="69">
        <v>27.449230194091797</v>
      </c>
      <c r="F35" s="69">
        <v>27.377090454101563</v>
      </c>
      <c r="G35" s="69">
        <v>27.35333251953125</v>
      </c>
      <c r="H35" s="73"/>
      <c r="I35" s="73"/>
      <c r="J35" s="73"/>
      <c r="K35" s="73"/>
      <c r="L35" s="81"/>
    </row>
    <row r="36" spans="1:12">
      <c r="A36" s="9" t="s">
        <v>50</v>
      </c>
      <c r="B36" s="10"/>
      <c r="C36" s="10"/>
      <c r="D36" s="10" t="s">
        <v>33</v>
      </c>
      <c r="E36" s="69">
        <v>30.629251480102539</v>
      </c>
      <c r="F36" s="69">
        <v>30.56471061706543</v>
      </c>
      <c r="G36" s="69">
        <v>30.634933471679688</v>
      </c>
      <c r="H36" s="73"/>
      <c r="I36" s="73"/>
      <c r="J36" s="73"/>
      <c r="K36" s="73"/>
      <c r="L36" s="81"/>
    </row>
    <row r="37" spans="1:12">
      <c r="A37" s="9" t="s">
        <v>36</v>
      </c>
      <c r="B37" s="10"/>
      <c r="C37" s="10"/>
      <c r="D37" s="10" t="s">
        <v>33</v>
      </c>
      <c r="E37" s="69">
        <v>34.271244049072266</v>
      </c>
      <c r="F37" s="69">
        <v>33.610923767089844</v>
      </c>
      <c r="G37" s="69">
        <v>33.856788635253906</v>
      </c>
      <c r="H37" s="73"/>
      <c r="I37" s="73"/>
      <c r="J37" s="73"/>
      <c r="K37" s="73"/>
      <c r="L37" s="81"/>
    </row>
    <row r="38" spans="1:12">
      <c r="A38" s="9" t="s">
        <v>51</v>
      </c>
      <c r="B38" s="10"/>
      <c r="C38" s="10"/>
      <c r="D38" s="10" t="s">
        <v>33</v>
      </c>
      <c r="E38" s="69">
        <v>36.108188629150391</v>
      </c>
      <c r="F38" s="69">
        <v>38.974224090576172</v>
      </c>
      <c r="G38" s="69">
        <v>36.846538543701172</v>
      </c>
      <c r="H38" s="73"/>
      <c r="I38" s="73"/>
      <c r="J38" s="73"/>
      <c r="K38" s="73"/>
      <c r="L38" s="81"/>
    </row>
    <row r="39" spans="1:12">
      <c r="A39" s="9" t="s">
        <v>71</v>
      </c>
      <c r="B39" s="10" t="s">
        <v>53</v>
      </c>
      <c r="C39" s="10"/>
      <c r="D39" s="10" t="s">
        <v>33</v>
      </c>
      <c r="E39" s="69">
        <v>27.338237762451172</v>
      </c>
      <c r="F39" s="69">
        <v>27.358592987060547</v>
      </c>
      <c r="G39" s="69">
        <v>27.317073822021484</v>
      </c>
      <c r="H39" s="73" t="s">
        <v>54</v>
      </c>
      <c r="I39" s="73" t="s">
        <v>55</v>
      </c>
      <c r="J39" s="69">
        <v>28.985368728637695</v>
      </c>
      <c r="K39" s="69">
        <v>29.047399520874023</v>
      </c>
      <c r="L39" s="74">
        <v>28.988075256347656</v>
      </c>
    </row>
    <row r="40" spans="1:12">
      <c r="A40" s="9" t="s">
        <v>67</v>
      </c>
      <c r="B40" s="10" t="s">
        <v>14</v>
      </c>
      <c r="C40" s="10"/>
      <c r="D40" s="10" t="s">
        <v>33</v>
      </c>
      <c r="E40" s="69">
        <v>27.020353317260742</v>
      </c>
      <c r="F40" s="69">
        <v>27.054521560668945</v>
      </c>
      <c r="G40" s="69">
        <v>26.973606109619141</v>
      </c>
      <c r="H40" s="73" t="s">
        <v>54</v>
      </c>
      <c r="I40" s="73" t="s">
        <v>55</v>
      </c>
      <c r="J40" s="69">
        <v>28.970947265625</v>
      </c>
      <c r="K40" s="69">
        <v>29.039278030395508</v>
      </c>
      <c r="L40" s="74">
        <v>29.006271362304688</v>
      </c>
    </row>
    <row r="41" spans="1:12">
      <c r="A41" s="9" t="s">
        <v>72</v>
      </c>
      <c r="B41" s="10" t="s">
        <v>53</v>
      </c>
      <c r="C41" s="10"/>
      <c r="D41" s="10" t="s">
        <v>33</v>
      </c>
      <c r="E41" s="69">
        <v>27.273155212402344</v>
      </c>
      <c r="F41" s="69">
        <v>27.375602722167969</v>
      </c>
      <c r="G41" s="69">
        <v>27.356679916381836</v>
      </c>
      <c r="H41" s="73" t="s">
        <v>54</v>
      </c>
      <c r="I41" s="73" t="s">
        <v>55</v>
      </c>
      <c r="J41" s="69">
        <v>28.669090270996094</v>
      </c>
      <c r="K41" s="69">
        <v>28.936182022094727</v>
      </c>
      <c r="L41" s="74">
        <v>29.007818222045898</v>
      </c>
    </row>
    <row r="42" spans="1:12">
      <c r="A42" s="9" t="s">
        <v>68</v>
      </c>
      <c r="B42" s="19" t="s">
        <v>14</v>
      </c>
      <c r="C42" s="19"/>
      <c r="D42" s="10" t="s">
        <v>33</v>
      </c>
      <c r="E42" s="69">
        <v>27.620309829711914</v>
      </c>
      <c r="F42" s="69">
        <v>27.654542922973633</v>
      </c>
      <c r="G42" s="69">
        <v>27.605251312255859</v>
      </c>
      <c r="H42" s="73" t="s">
        <v>54</v>
      </c>
      <c r="I42" s="73" t="s">
        <v>55</v>
      </c>
      <c r="J42" s="69">
        <v>29.053775787353516</v>
      </c>
      <c r="K42" s="69">
        <v>29.054859161376953</v>
      </c>
      <c r="L42" s="74">
        <v>29.030563354492188</v>
      </c>
    </row>
    <row r="43" spans="1:12" s="23" customFormat="1">
      <c r="A43" s="20" t="s">
        <v>73</v>
      </c>
      <c r="B43" s="21" t="s">
        <v>53</v>
      </c>
      <c r="C43" s="21"/>
      <c r="D43" s="22" t="s">
        <v>33</v>
      </c>
      <c r="E43" s="75" t="s">
        <v>42</v>
      </c>
      <c r="F43" s="75" t="s">
        <v>42</v>
      </c>
      <c r="G43" s="75" t="s">
        <v>42</v>
      </c>
      <c r="H43" s="75" t="s">
        <v>54</v>
      </c>
      <c r="I43" s="75" t="s">
        <v>55</v>
      </c>
      <c r="J43" s="69">
        <v>29.759223937988281</v>
      </c>
      <c r="K43" s="69">
        <v>29.663507461547852</v>
      </c>
      <c r="L43" s="74">
        <v>29.670917510986328</v>
      </c>
    </row>
    <row r="44" spans="1:12" s="23" customFormat="1">
      <c r="A44" s="20" t="s">
        <v>69</v>
      </c>
      <c r="B44" s="21" t="s">
        <v>14</v>
      </c>
      <c r="C44" s="21"/>
      <c r="D44" s="22" t="s">
        <v>33</v>
      </c>
      <c r="E44" s="75" t="s">
        <v>42</v>
      </c>
      <c r="F44" s="75" t="s">
        <v>42</v>
      </c>
      <c r="G44" s="75" t="s">
        <v>42</v>
      </c>
      <c r="H44" s="75" t="s">
        <v>54</v>
      </c>
      <c r="I44" s="75" t="s">
        <v>55</v>
      </c>
      <c r="J44" s="69">
        <v>29.656093597412109</v>
      </c>
      <c r="K44" s="69">
        <v>29.697751998901367</v>
      </c>
      <c r="L44" s="74">
        <v>29.504890441894531</v>
      </c>
    </row>
    <row r="45" spans="1:12" s="23" customFormat="1">
      <c r="A45" s="24" t="s">
        <v>43</v>
      </c>
      <c r="B45" s="21" t="s">
        <v>14</v>
      </c>
      <c r="C45" s="21"/>
      <c r="D45" s="22" t="s">
        <v>33</v>
      </c>
      <c r="E45" s="75"/>
      <c r="F45" s="75"/>
      <c r="G45" s="75"/>
      <c r="H45" s="75" t="s">
        <v>54</v>
      </c>
      <c r="I45" s="75" t="s">
        <v>55</v>
      </c>
      <c r="J45" s="75"/>
      <c r="K45" s="75"/>
      <c r="L45" s="76"/>
    </row>
    <row r="46" spans="1:12" s="23" customFormat="1">
      <c r="A46" s="20" t="s">
        <v>58</v>
      </c>
      <c r="B46" s="21" t="s">
        <v>53</v>
      </c>
      <c r="C46" s="21"/>
      <c r="D46" s="22" t="s">
        <v>33</v>
      </c>
      <c r="E46" s="75" t="s">
        <v>42</v>
      </c>
      <c r="F46" s="75" t="s">
        <v>42</v>
      </c>
      <c r="G46" s="75" t="s">
        <v>42</v>
      </c>
      <c r="H46" s="75" t="s">
        <v>54</v>
      </c>
      <c r="I46" s="75" t="s">
        <v>55</v>
      </c>
      <c r="J46" s="69">
        <v>29.814973831176758</v>
      </c>
      <c r="K46" s="69">
        <v>29.537591934204102</v>
      </c>
      <c r="L46" s="74">
        <v>29.464000701904297</v>
      </c>
    </row>
    <row r="47" spans="1:12" ht="15.75" thickBot="1">
      <c r="A47" s="13" t="s">
        <v>44</v>
      </c>
      <c r="B47" s="15"/>
      <c r="C47" s="15"/>
      <c r="D47" s="15" t="s">
        <v>33</v>
      </c>
      <c r="E47" s="77" t="s">
        <v>42</v>
      </c>
      <c r="F47" s="77" t="s">
        <v>42</v>
      </c>
      <c r="G47" s="77" t="s">
        <v>42</v>
      </c>
      <c r="H47" s="78" t="s">
        <v>54</v>
      </c>
      <c r="I47" s="78" t="s">
        <v>55</v>
      </c>
      <c r="J47" s="79">
        <v>29.699832916259766</v>
      </c>
      <c r="K47" s="79">
        <v>29.82636833190918</v>
      </c>
      <c r="L47" s="80">
        <v>29.798866271972656</v>
      </c>
    </row>
  </sheetData>
  <mergeCells count="6">
    <mergeCell ref="A1:I1"/>
    <mergeCell ref="H3:H7"/>
    <mergeCell ref="A14:F14"/>
    <mergeCell ref="A31:L31"/>
    <mergeCell ref="H14:I22"/>
    <mergeCell ref="A13:F13"/>
  </mergeCells>
  <pageMargins left="0.7" right="0.7" top="0.75" bottom="0.75" header="0.3" footer="0.3"/>
  <headerFooter>
    <oddHeader>&amp;R&amp;"Aptos"&amp;12&amp;K000000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1A16-38DB-4655-9E4C-5590C68A8832}">
  <dimension ref="A1:L47"/>
  <sheetViews>
    <sheetView tabSelected="1" topLeftCell="A4" workbookViewId="0">
      <selection activeCell="C19" sqref="C19:E19"/>
    </sheetView>
  </sheetViews>
  <sheetFormatPr defaultColWidth="22" defaultRowHeight="15"/>
  <cols>
    <col min="3" max="3" width="16.85546875" bestFit="1" customWidth="1"/>
    <col min="9" max="9" width="93.140625" customWidth="1"/>
  </cols>
  <sheetData>
    <row r="1" spans="1:9" ht="21">
      <c r="A1" s="231" t="s">
        <v>0</v>
      </c>
      <c r="B1" s="231"/>
      <c r="C1" s="231"/>
      <c r="D1" s="231"/>
      <c r="E1" s="231"/>
      <c r="F1" s="231"/>
      <c r="G1" s="231"/>
      <c r="H1" s="231"/>
      <c r="I1" s="231"/>
    </row>
    <row r="2" spans="1:9" ht="60">
      <c r="A2" s="1" t="s">
        <v>1</v>
      </c>
      <c r="B2" s="1" t="s">
        <v>2</v>
      </c>
      <c r="C2" s="1" t="s">
        <v>3</v>
      </c>
      <c r="D2" s="1" t="s">
        <v>4</v>
      </c>
      <c r="E2" s="1" t="s">
        <v>5</v>
      </c>
      <c r="F2" s="1" t="s">
        <v>6</v>
      </c>
      <c r="G2" s="1" t="s">
        <v>7</v>
      </c>
      <c r="H2" s="1" t="s">
        <v>8</v>
      </c>
      <c r="I2" s="1" t="s">
        <v>9</v>
      </c>
    </row>
    <row r="3" spans="1:9">
      <c r="A3" s="3" t="s">
        <v>10</v>
      </c>
      <c r="B3" s="3" t="s">
        <v>74</v>
      </c>
      <c r="C3" s="3" t="s">
        <v>12</v>
      </c>
      <c r="D3" s="3" t="s">
        <v>13</v>
      </c>
      <c r="E3" s="3" t="s">
        <v>14</v>
      </c>
      <c r="F3" s="4"/>
      <c r="G3" s="3" t="s">
        <v>75</v>
      </c>
      <c r="H3" s="232" t="s">
        <v>16</v>
      </c>
      <c r="I3" s="5"/>
    </row>
    <row r="4" spans="1:9" ht="60">
      <c r="A4" s="3" t="s">
        <v>10</v>
      </c>
      <c r="B4" s="3" t="s">
        <v>76</v>
      </c>
      <c r="C4" s="3" t="s">
        <v>12</v>
      </c>
      <c r="D4" s="3" t="s">
        <v>13</v>
      </c>
      <c r="E4" s="3" t="s">
        <v>14</v>
      </c>
      <c r="F4" s="4"/>
      <c r="G4" s="3" t="s">
        <v>75</v>
      </c>
      <c r="H4" s="233"/>
      <c r="I4" s="5" t="s">
        <v>77</v>
      </c>
    </row>
    <row r="5" spans="1:9">
      <c r="A5" s="3" t="s">
        <v>10</v>
      </c>
      <c r="B5" s="3" t="s">
        <v>78</v>
      </c>
      <c r="C5" s="3" t="s">
        <v>12</v>
      </c>
      <c r="D5" s="3" t="s">
        <v>13</v>
      </c>
      <c r="E5" s="3" t="s">
        <v>14</v>
      </c>
      <c r="F5" s="4"/>
      <c r="G5" s="3" t="s">
        <v>75</v>
      </c>
      <c r="H5" s="233"/>
      <c r="I5" s="5"/>
    </row>
    <row r="6" spans="1:9">
      <c r="A6" s="3" t="s">
        <v>10</v>
      </c>
      <c r="B6" s="3" t="s">
        <v>79</v>
      </c>
      <c r="C6" s="3" t="s">
        <v>12</v>
      </c>
      <c r="D6" s="3" t="s">
        <v>20</v>
      </c>
      <c r="E6" s="3" t="s">
        <v>14</v>
      </c>
      <c r="F6" s="4"/>
      <c r="G6" s="3" t="s">
        <v>75</v>
      </c>
      <c r="H6" s="233"/>
      <c r="I6" s="5"/>
    </row>
    <row r="7" spans="1:9">
      <c r="A7" s="3" t="s">
        <v>10</v>
      </c>
      <c r="B7" s="3" t="s">
        <v>21</v>
      </c>
      <c r="C7" s="3"/>
      <c r="D7" s="3" t="s">
        <v>23</v>
      </c>
      <c r="E7" s="3" t="s">
        <v>14</v>
      </c>
      <c r="F7" s="4"/>
      <c r="G7" s="3" t="s">
        <v>75</v>
      </c>
      <c r="H7" s="234"/>
      <c r="I7" s="5"/>
    </row>
    <row r="9" spans="1:9">
      <c r="A9" s="26" t="s">
        <v>80</v>
      </c>
    </row>
    <row r="12" spans="1:9" ht="15.75" thickBot="1"/>
    <row r="13" spans="1:9" ht="15.75" customHeight="1" thickBot="1">
      <c r="A13" s="235" t="s">
        <v>25</v>
      </c>
      <c r="B13" s="236"/>
      <c r="C13" s="236"/>
      <c r="D13" s="236"/>
      <c r="E13" s="236"/>
      <c r="F13" s="237"/>
      <c r="I13" s="242" t="s">
        <v>81</v>
      </c>
    </row>
    <row r="14" spans="1:9" ht="15.75" customHeight="1" thickBot="1">
      <c r="A14" s="238" t="s">
        <v>82</v>
      </c>
      <c r="B14" s="239"/>
      <c r="C14" s="239"/>
      <c r="D14" s="239"/>
      <c r="E14" s="239"/>
      <c r="F14" s="240"/>
      <c r="I14" s="242"/>
    </row>
    <row r="15" spans="1:9" ht="30">
      <c r="A15" s="6" t="s">
        <v>2</v>
      </c>
      <c r="B15" s="7" t="s">
        <v>27</v>
      </c>
      <c r="C15" s="7" t="s">
        <v>28</v>
      </c>
      <c r="D15" s="7" t="s">
        <v>29</v>
      </c>
      <c r="E15" s="7" t="s">
        <v>30</v>
      </c>
      <c r="F15" s="8" t="s">
        <v>31</v>
      </c>
      <c r="I15" s="242"/>
    </row>
    <row r="16" spans="1:9">
      <c r="A16" s="9" t="s">
        <v>32</v>
      </c>
      <c r="B16" s="3" t="s">
        <v>33</v>
      </c>
      <c r="C16" s="10">
        <v>21.7</v>
      </c>
      <c r="D16" s="10">
        <v>21.5</v>
      </c>
      <c r="E16" s="11" t="s">
        <v>34</v>
      </c>
      <c r="F16" s="12" t="s">
        <v>35</v>
      </c>
      <c r="I16" s="242"/>
    </row>
    <row r="17" spans="1:12">
      <c r="A17" s="9" t="s">
        <v>36</v>
      </c>
      <c r="B17" s="3" t="s">
        <v>33</v>
      </c>
      <c r="C17" s="10">
        <v>36.6</v>
      </c>
      <c r="D17" s="10">
        <v>35.799999999999997</v>
      </c>
      <c r="E17" s="11" t="s">
        <v>34</v>
      </c>
      <c r="F17" s="12" t="s">
        <v>35</v>
      </c>
      <c r="I17" s="242"/>
    </row>
    <row r="18" spans="1:12">
      <c r="A18" s="55" t="s">
        <v>83</v>
      </c>
      <c r="B18" s="3" t="s">
        <v>33</v>
      </c>
      <c r="C18" s="10">
        <v>27.7</v>
      </c>
      <c r="D18" s="10">
        <v>27.5</v>
      </c>
      <c r="E18" s="10">
        <v>27.6</v>
      </c>
      <c r="F18" s="12" t="s">
        <v>35</v>
      </c>
      <c r="I18" s="242"/>
    </row>
    <row r="19" spans="1:12">
      <c r="A19" s="55" t="s">
        <v>84</v>
      </c>
      <c r="B19" s="3" t="s">
        <v>33</v>
      </c>
      <c r="C19" s="10">
        <v>26.7</v>
      </c>
      <c r="D19" s="10">
        <v>27</v>
      </c>
      <c r="E19" s="10">
        <v>27.2</v>
      </c>
      <c r="F19" s="12" t="s">
        <v>35</v>
      </c>
      <c r="I19" s="242"/>
    </row>
    <row r="20" spans="1:12">
      <c r="A20" s="55" t="s">
        <v>85</v>
      </c>
      <c r="B20" s="3" t="s">
        <v>33</v>
      </c>
      <c r="C20" s="10" t="s">
        <v>42</v>
      </c>
      <c r="D20" s="10" t="s">
        <v>42</v>
      </c>
      <c r="E20" s="11" t="s">
        <v>34</v>
      </c>
      <c r="F20" s="12" t="s">
        <v>35</v>
      </c>
      <c r="I20" s="242"/>
    </row>
    <row r="21" spans="1:12">
      <c r="A21" s="9" t="s">
        <v>43</v>
      </c>
      <c r="B21" s="3" t="s">
        <v>33</v>
      </c>
      <c r="C21" s="10" t="s">
        <v>42</v>
      </c>
      <c r="D21" s="10" t="s">
        <v>42</v>
      </c>
      <c r="E21" s="11" t="s">
        <v>34</v>
      </c>
      <c r="F21" s="12" t="s">
        <v>35</v>
      </c>
      <c r="I21" s="242"/>
    </row>
    <row r="22" spans="1:12" ht="15.75" thickBot="1">
      <c r="A22" s="13" t="s">
        <v>44</v>
      </c>
      <c r="B22" s="14" t="s">
        <v>33</v>
      </c>
      <c r="C22" s="15" t="s">
        <v>42</v>
      </c>
      <c r="D22" s="15" t="s">
        <v>42</v>
      </c>
      <c r="E22" s="16" t="s">
        <v>34</v>
      </c>
      <c r="F22" s="17" t="s">
        <v>35</v>
      </c>
      <c r="I22" s="242"/>
    </row>
    <row r="23" spans="1:12">
      <c r="I23" s="242"/>
    </row>
    <row r="24" spans="1:12">
      <c r="I24" s="242"/>
    </row>
    <row r="25" spans="1:12">
      <c r="I25" s="242"/>
    </row>
    <row r="26" spans="1:12">
      <c r="I26" s="242"/>
    </row>
    <row r="30" spans="1:12" ht="15.75" thickBot="1"/>
    <row r="31" spans="1:12" ht="15.75" thickBot="1">
      <c r="A31" s="235" t="s">
        <v>45</v>
      </c>
      <c r="B31" s="236"/>
      <c r="C31" s="236"/>
      <c r="D31" s="236"/>
      <c r="E31" s="236"/>
      <c r="F31" s="236"/>
      <c r="G31" s="236"/>
      <c r="H31" s="236"/>
      <c r="I31" s="236"/>
      <c r="J31" s="236"/>
      <c r="K31" s="236"/>
      <c r="L31" s="237"/>
    </row>
    <row r="32" spans="1:12" ht="45.75" thickBot="1">
      <c r="A32" s="58" t="s">
        <v>2</v>
      </c>
      <c r="B32" s="59" t="s">
        <v>70</v>
      </c>
      <c r="C32" s="59" t="s">
        <v>47</v>
      </c>
      <c r="D32" s="59" t="s">
        <v>27</v>
      </c>
      <c r="E32" s="59" t="s">
        <v>28</v>
      </c>
      <c r="F32" s="59" t="s">
        <v>29</v>
      </c>
      <c r="G32" s="59" t="s">
        <v>30</v>
      </c>
      <c r="H32" s="59" t="s">
        <v>31</v>
      </c>
      <c r="I32" s="59" t="s">
        <v>27</v>
      </c>
      <c r="J32" s="59" t="s">
        <v>28</v>
      </c>
      <c r="K32" s="59" t="s">
        <v>29</v>
      </c>
      <c r="L32" s="60" t="s">
        <v>30</v>
      </c>
    </row>
    <row r="33" spans="1:12">
      <c r="A33" s="82" t="s">
        <v>32</v>
      </c>
      <c r="B33" s="62"/>
      <c r="C33" s="62"/>
      <c r="D33" s="62" t="s">
        <v>33</v>
      </c>
      <c r="E33" s="71">
        <v>20.462787628173828</v>
      </c>
      <c r="F33" s="71">
        <v>20.478761672973633</v>
      </c>
      <c r="G33" s="71">
        <v>20.399045944213867</v>
      </c>
      <c r="H33" s="70"/>
      <c r="I33" s="70"/>
      <c r="J33" s="70"/>
      <c r="K33" s="70"/>
      <c r="L33" s="87"/>
    </row>
    <row r="34" spans="1:12">
      <c r="A34" s="83" t="s">
        <v>48</v>
      </c>
      <c r="B34" s="10"/>
      <c r="C34" s="10"/>
      <c r="D34" s="10" t="s">
        <v>33</v>
      </c>
      <c r="E34" s="69">
        <v>24.069675445556641</v>
      </c>
      <c r="F34" s="69">
        <v>24.055591583251953</v>
      </c>
      <c r="G34" s="69">
        <v>23.990074157714844</v>
      </c>
      <c r="H34" s="73"/>
      <c r="I34" s="73"/>
      <c r="J34" s="73"/>
      <c r="K34" s="73"/>
      <c r="L34" s="81"/>
    </row>
    <row r="35" spans="1:12">
      <c r="A35" s="83" t="s">
        <v>49</v>
      </c>
      <c r="B35" s="10"/>
      <c r="C35" s="10"/>
      <c r="D35" s="10" t="s">
        <v>33</v>
      </c>
      <c r="E35" s="69">
        <v>27.449230194091797</v>
      </c>
      <c r="F35" s="69">
        <v>27.377090454101563</v>
      </c>
      <c r="G35" s="69">
        <v>27.35333251953125</v>
      </c>
      <c r="H35" s="73"/>
      <c r="I35" s="73"/>
      <c r="J35" s="73"/>
      <c r="K35" s="73"/>
      <c r="L35" s="81"/>
    </row>
    <row r="36" spans="1:12">
      <c r="A36" s="83" t="s">
        <v>50</v>
      </c>
      <c r="B36" s="10"/>
      <c r="C36" s="10"/>
      <c r="D36" s="10" t="s">
        <v>33</v>
      </c>
      <c r="E36" s="69">
        <v>30.629251480102539</v>
      </c>
      <c r="F36" s="69">
        <v>30.56471061706543</v>
      </c>
      <c r="G36" s="69">
        <v>30.634933471679688</v>
      </c>
      <c r="H36" s="73"/>
      <c r="I36" s="73"/>
      <c r="J36" s="73"/>
      <c r="K36" s="73"/>
      <c r="L36" s="81"/>
    </row>
    <row r="37" spans="1:12">
      <c r="A37" s="83" t="s">
        <v>36</v>
      </c>
      <c r="B37" s="10"/>
      <c r="C37" s="10"/>
      <c r="D37" s="10" t="s">
        <v>33</v>
      </c>
      <c r="E37" s="69">
        <v>34.271244049072266</v>
      </c>
      <c r="F37" s="69">
        <v>33.610923767089844</v>
      </c>
      <c r="G37" s="69">
        <v>33.856788635253906</v>
      </c>
      <c r="H37" s="73"/>
      <c r="I37" s="73"/>
      <c r="J37" s="73"/>
      <c r="K37" s="73"/>
      <c r="L37" s="81"/>
    </row>
    <row r="38" spans="1:12">
      <c r="A38" s="83" t="s">
        <v>51</v>
      </c>
      <c r="B38" s="10"/>
      <c r="C38" s="10"/>
      <c r="D38" s="10" t="s">
        <v>33</v>
      </c>
      <c r="E38" s="69">
        <v>36.108188629150391</v>
      </c>
      <c r="F38" s="69">
        <v>38.974224090576172</v>
      </c>
      <c r="G38" s="69">
        <v>36.846538543701172</v>
      </c>
      <c r="H38" s="73"/>
      <c r="I38" s="73"/>
      <c r="J38" s="73"/>
      <c r="K38" s="73"/>
      <c r="L38" s="81"/>
    </row>
    <row r="39" spans="1:12">
      <c r="A39" s="83" t="s">
        <v>86</v>
      </c>
      <c r="B39" s="10" t="s">
        <v>53</v>
      </c>
      <c r="C39" s="10"/>
      <c r="D39" s="10" t="s">
        <v>33</v>
      </c>
      <c r="E39" s="69">
        <v>27.317514419555664</v>
      </c>
      <c r="F39" s="69">
        <v>27.227245330810547</v>
      </c>
      <c r="G39" s="69">
        <v>27.25030517578125</v>
      </c>
      <c r="H39" s="73" t="s">
        <v>54</v>
      </c>
      <c r="I39" s="73" t="s">
        <v>55</v>
      </c>
      <c r="J39" s="69">
        <v>29.083816528320313</v>
      </c>
      <c r="K39" s="69">
        <v>28.953689575195313</v>
      </c>
      <c r="L39" s="74">
        <v>28.965309143066406</v>
      </c>
    </row>
    <row r="40" spans="1:12">
      <c r="A40" s="83" t="s">
        <v>83</v>
      </c>
      <c r="B40" s="10" t="s">
        <v>14</v>
      </c>
      <c r="C40" s="10"/>
      <c r="D40" s="10" t="s">
        <v>33</v>
      </c>
      <c r="E40" s="69">
        <v>27.635665893554688</v>
      </c>
      <c r="F40" s="69">
        <v>27.681081771850586</v>
      </c>
      <c r="G40" s="69">
        <v>27.71003532409668</v>
      </c>
      <c r="H40" s="73" t="s">
        <v>54</v>
      </c>
      <c r="I40" s="73" t="s">
        <v>55</v>
      </c>
      <c r="J40" s="69">
        <v>29.074506759643555</v>
      </c>
      <c r="K40" s="69">
        <v>29.303937911987305</v>
      </c>
      <c r="L40" s="74">
        <v>28.901351928710938</v>
      </c>
    </row>
    <row r="41" spans="1:12">
      <c r="A41" s="83" t="s">
        <v>87</v>
      </c>
      <c r="B41" s="10" t="s">
        <v>53</v>
      </c>
      <c r="C41" s="10"/>
      <c r="D41" s="10" t="s">
        <v>33</v>
      </c>
      <c r="E41" s="69">
        <v>27.043563842773438</v>
      </c>
      <c r="F41" s="69">
        <v>27.09660530090332</v>
      </c>
      <c r="G41" s="69">
        <v>27.002836227416992</v>
      </c>
      <c r="H41" s="73" t="s">
        <v>54</v>
      </c>
      <c r="I41" s="73" t="s">
        <v>55</v>
      </c>
      <c r="J41" s="69">
        <v>28.915199279785156</v>
      </c>
      <c r="K41" s="69">
        <v>28.921039581298828</v>
      </c>
      <c r="L41" s="74">
        <v>28.89739990234375</v>
      </c>
    </row>
    <row r="42" spans="1:12">
      <c r="A42" s="83" t="s">
        <v>84</v>
      </c>
      <c r="B42" s="19" t="s">
        <v>14</v>
      </c>
      <c r="C42" s="19"/>
      <c r="D42" s="10" t="s">
        <v>33</v>
      </c>
      <c r="E42" s="69">
        <v>27.098020553588867</v>
      </c>
      <c r="F42" s="69">
        <v>27.121566772460938</v>
      </c>
      <c r="G42" s="69">
        <v>27.163602828979492</v>
      </c>
      <c r="H42" s="73" t="s">
        <v>54</v>
      </c>
      <c r="I42" s="73" t="s">
        <v>55</v>
      </c>
      <c r="J42" s="69">
        <v>28.910699844360352</v>
      </c>
      <c r="K42" s="69">
        <v>28.872270584106445</v>
      </c>
      <c r="L42" s="74">
        <v>28.913679122924805</v>
      </c>
    </row>
    <row r="43" spans="1:12" s="23" customFormat="1">
      <c r="A43" s="84" t="s">
        <v>88</v>
      </c>
      <c r="B43" s="21" t="s">
        <v>53</v>
      </c>
      <c r="C43" s="21"/>
      <c r="D43" s="22" t="s">
        <v>33</v>
      </c>
      <c r="E43" s="75" t="s">
        <v>42</v>
      </c>
      <c r="F43" s="75" t="s">
        <v>42</v>
      </c>
      <c r="G43" s="75" t="s">
        <v>42</v>
      </c>
      <c r="H43" s="75" t="s">
        <v>54</v>
      </c>
      <c r="I43" s="75" t="s">
        <v>55</v>
      </c>
      <c r="J43" s="69">
        <v>29.822341918945313</v>
      </c>
      <c r="K43" s="69">
        <v>29.741361618041992</v>
      </c>
      <c r="L43" s="74">
        <v>29.659152984619141</v>
      </c>
    </row>
    <row r="44" spans="1:12" s="23" customFormat="1">
      <c r="A44" s="84" t="s">
        <v>85</v>
      </c>
      <c r="B44" s="21" t="s">
        <v>14</v>
      </c>
      <c r="C44" s="21"/>
      <c r="D44" s="22" t="s">
        <v>33</v>
      </c>
      <c r="E44" s="75" t="s">
        <v>42</v>
      </c>
      <c r="F44" s="75" t="s">
        <v>42</v>
      </c>
      <c r="G44" s="75" t="s">
        <v>42</v>
      </c>
      <c r="H44" s="75" t="s">
        <v>54</v>
      </c>
      <c r="I44" s="75" t="s">
        <v>55</v>
      </c>
      <c r="J44" s="69">
        <v>29.685829162597656</v>
      </c>
      <c r="K44" s="69">
        <v>29.546892166137695</v>
      </c>
      <c r="L44" s="74">
        <v>29.608621597290039</v>
      </c>
    </row>
    <row r="45" spans="1:12" s="23" customFormat="1">
      <c r="A45" s="85" t="s">
        <v>43</v>
      </c>
      <c r="B45" s="21" t="s">
        <v>14</v>
      </c>
      <c r="C45" s="21"/>
      <c r="D45" s="22" t="s">
        <v>33</v>
      </c>
      <c r="E45" s="75"/>
      <c r="F45" s="75"/>
      <c r="G45" s="75"/>
      <c r="H45" s="75" t="s">
        <v>54</v>
      </c>
      <c r="I45" s="75" t="s">
        <v>55</v>
      </c>
      <c r="J45" s="75"/>
      <c r="K45" s="75"/>
      <c r="L45" s="76"/>
    </row>
    <row r="46" spans="1:12" s="23" customFormat="1">
      <c r="A46" s="84" t="s">
        <v>89</v>
      </c>
      <c r="B46" s="21" t="s">
        <v>53</v>
      </c>
      <c r="C46" s="21"/>
      <c r="D46" s="22" t="s">
        <v>33</v>
      </c>
      <c r="E46" s="75" t="s">
        <v>42</v>
      </c>
      <c r="F46" s="75" t="s">
        <v>42</v>
      </c>
      <c r="G46" s="75" t="s">
        <v>42</v>
      </c>
      <c r="H46" s="75" t="s">
        <v>54</v>
      </c>
      <c r="I46" s="75" t="s">
        <v>55</v>
      </c>
      <c r="J46" s="69">
        <v>29.814973831176758</v>
      </c>
      <c r="K46" s="69">
        <v>29.537591934204102</v>
      </c>
      <c r="L46" s="74">
        <v>29.464000701904297</v>
      </c>
    </row>
    <row r="47" spans="1:12" ht="15.75" thickBot="1">
      <c r="A47" s="86" t="s">
        <v>44</v>
      </c>
      <c r="B47" s="15"/>
      <c r="C47" s="15"/>
      <c r="D47" s="15" t="s">
        <v>33</v>
      </c>
      <c r="E47" s="77" t="s">
        <v>42</v>
      </c>
      <c r="F47" s="77" t="s">
        <v>42</v>
      </c>
      <c r="G47" s="77" t="s">
        <v>42</v>
      </c>
      <c r="H47" s="78" t="s">
        <v>54</v>
      </c>
      <c r="I47" s="78" t="s">
        <v>55</v>
      </c>
      <c r="J47" s="79">
        <v>29.699832916259766</v>
      </c>
      <c r="K47" s="79">
        <v>29.82636833190918</v>
      </c>
      <c r="L47" s="80">
        <v>29.798866271972656</v>
      </c>
    </row>
  </sheetData>
  <mergeCells count="6">
    <mergeCell ref="A1:I1"/>
    <mergeCell ref="H3:H7"/>
    <mergeCell ref="A14:F14"/>
    <mergeCell ref="A31:L31"/>
    <mergeCell ref="A13:F13"/>
    <mergeCell ref="I13:I26"/>
  </mergeCells>
  <pageMargins left="0.7" right="0.7" top="0.75" bottom="0.75" header="0.3" footer="0.3"/>
  <headerFooter>
    <oddHeader>&amp;R&amp;"Aptos"&amp;12&amp;K000000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52040-2111-4398-BF3D-5613DEC7E363}">
  <dimension ref="A1:L47"/>
  <sheetViews>
    <sheetView workbookViewId="0">
      <selection activeCell="I6" sqref="I6"/>
    </sheetView>
  </sheetViews>
  <sheetFormatPr defaultColWidth="22" defaultRowHeight="15"/>
  <cols>
    <col min="3" max="3" width="16.85546875" bestFit="1" customWidth="1"/>
    <col min="5" max="5" width="16.85546875" customWidth="1"/>
    <col min="9" max="9" width="84" customWidth="1"/>
  </cols>
  <sheetData>
    <row r="1" spans="1:10" ht="21">
      <c r="A1" s="231" t="s">
        <v>0</v>
      </c>
      <c r="B1" s="231"/>
      <c r="C1" s="231"/>
      <c r="D1" s="231"/>
      <c r="E1" s="231"/>
      <c r="F1" s="231"/>
      <c r="G1" s="231"/>
      <c r="H1" s="231"/>
      <c r="I1" s="231"/>
    </row>
    <row r="2" spans="1:10" ht="60">
      <c r="A2" s="1" t="s">
        <v>1</v>
      </c>
      <c r="B2" s="1" t="s">
        <v>2</v>
      </c>
      <c r="C2" s="1" t="s">
        <v>3</v>
      </c>
      <c r="D2" s="1" t="s">
        <v>4</v>
      </c>
      <c r="E2" s="1" t="s">
        <v>5</v>
      </c>
      <c r="F2" s="1" t="s">
        <v>6</v>
      </c>
      <c r="G2" s="1" t="s">
        <v>7</v>
      </c>
      <c r="H2" s="1" t="s">
        <v>8</v>
      </c>
      <c r="I2" s="1" t="s">
        <v>9</v>
      </c>
    </row>
    <row r="3" spans="1:10">
      <c r="A3" s="3" t="s">
        <v>10</v>
      </c>
      <c r="B3" s="3" t="s">
        <v>90</v>
      </c>
      <c r="C3" s="3" t="s">
        <v>12</v>
      </c>
      <c r="D3" s="3" t="s">
        <v>13</v>
      </c>
      <c r="E3" s="3" t="s">
        <v>91</v>
      </c>
      <c r="F3" s="4">
        <v>45684</v>
      </c>
      <c r="G3" s="3" t="s">
        <v>92</v>
      </c>
      <c r="H3" s="232" t="s">
        <v>16</v>
      </c>
      <c r="I3" s="5"/>
    </row>
    <row r="4" spans="1:10">
      <c r="A4" s="3" t="s">
        <v>10</v>
      </c>
      <c r="B4" s="3" t="s">
        <v>93</v>
      </c>
      <c r="C4" s="3" t="s">
        <v>12</v>
      </c>
      <c r="D4" s="3" t="s">
        <v>13</v>
      </c>
      <c r="E4" s="3" t="s">
        <v>91</v>
      </c>
      <c r="F4" s="4">
        <v>45684</v>
      </c>
      <c r="G4" s="3" t="s">
        <v>92</v>
      </c>
      <c r="H4" s="233"/>
      <c r="I4" s="5"/>
    </row>
    <row r="5" spans="1:10">
      <c r="A5" s="3" t="s">
        <v>10</v>
      </c>
      <c r="B5" s="3" t="s">
        <v>94</v>
      </c>
      <c r="C5" s="3" t="s">
        <v>12</v>
      </c>
      <c r="D5" s="3" t="s">
        <v>13</v>
      </c>
      <c r="E5" s="3" t="s">
        <v>91</v>
      </c>
      <c r="F5" s="4">
        <v>45684</v>
      </c>
      <c r="G5" s="3" t="s">
        <v>92</v>
      </c>
      <c r="H5" s="233"/>
      <c r="I5" s="5"/>
    </row>
    <row r="6" spans="1:10">
      <c r="A6" s="3" t="s">
        <v>10</v>
      </c>
      <c r="B6" s="3" t="s">
        <v>95</v>
      </c>
      <c r="C6" s="3" t="s">
        <v>12</v>
      </c>
      <c r="D6" s="3" t="s">
        <v>20</v>
      </c>
      <c r="E6" s="3" t="s">
        <v>91</v>
      </c>
      <c r="F6" s="4">
        <v>45684</v>
      </c>
      <c r="G6" s="3" t="s">
        <v>92</v>
      </c>
      <c r="H6" s="233"/>
      <c r="I6" s="5"/>
    </row>
    <row r="7" spans="1:10">
      <c r="A7" s="3" t="s">
        <v>10</v>
      </c>
      <c r="B7" s="3" t="s">
        <v>21</v>
      </c>
      <c r="C7" s="3"/>
      <c r="D7" s="3" t="s">
        <v>23</v>
      </c>
      <c r="E7" s="3" t="s">
        <v>91</v>
      </c>
      <c r="F7" s="4">
        <v>45684</v>
      </c>
      <c r="G7" s="3" t="s">
        <v>92</v>
      </c>
      <c r="H7" s="234"/>
      <c r="I7" s="5"/>
    </row>
    <row r="9" spans="1:10">
      <c r="A9" s="26" t="s">
        <v>64</v>
      </c>
    </row>
    <row r="12" spans="1:10" ht="15.75" thickBot="1"/>
    <row r="13" spans="1:10" ht="15.75" thickBot="1">
      <c r="A13" s="235" t="s">
        <v>25</v>
      </c>
      <c r="B13" s="236"/>
      <c r="C13" s="236"/>
      <c r="D13" s="236"/>
      <c r="E13" s="236"/>
      <c r="F13" s="237"/>
    </row>
    <row r="14" spans="1:10" ht="15.75" thickBot="1">
      <c r="A14" s="238" t="s">
        <v>96</v>
      </c>
      <c r="B14" s="239"/>
      <c r="C14" s="239"/>
      <c r="D14" s="239"/>
      <c r="E14" s="239"/>
      <c r="F14" s="240"/>
    </row>
    <row r="15" spans="1:10" ht="30">
      <c r="A15" s="6" t="s">
        <v>2</v>
      </c>
      <c r="B15" s="7" t="s">
        <v>27</v>
      </c>
      <c r="C15" s="7" t="s">
        <v>28</v>
      </c>
      <c r="D15" s="7" t="s">
        <v>29</v>
      </c>
      <c r="E15" s="7" t="s">
        <v>30</v>
      </c>
      <c r="F15" s="8" t="s">
        <v>31</v>
      </c>
      <c r="I15" s="241" t="s">
        <v>97</v>
      </c>
      <c r="J15" s="241"/>
    </row>
    <row r="16" spans="1:10">
      <c r="A16" s="9" t="s">
        <v>32</v>
      </c>
      <c r="B16" s="3" t="s">
        <v>33</v>
      </c>
      <c r="C16" s="10">
        <v>22.1</v>
      </c>
      <c r="D16" s="10">
        <v>22</v>
      </c>
      <c r="E16" s="11" t="s">
        <v>34</v>
      </c>
      <c r="F16" s="12" t="s">
        <v>35</v>
      </c>
      <c r="I16" s="241"/>
      <c r="J16" s="241"/>
    </row>
    <row r="17" spans="1:12">
      <c r="A17" s="9" t="s">
        <v>36</v>
      </c>
      <c r="B17" s="3" t="s">
        <v>33</v>
      </c>
      <c r="C17" s="10">
        <v>35.5</v>
      </c>
      <c r="D17" s="10">
        <v>36.200000000000003</v>
      </c>
      <c r="E17" s="11" t="s">
        <v>34</v>
      </c>
      <c r="F17" s="12" t="s">
        <v>35</v>
      </c>
      <c r="I17" s="241"/>
      <c r="J17" s="241"/>
    </row>
    <row r="18" spans="1:12">
      <c r="A18" s="55" t="s">
        <v>98</v>
      </c>
      <c r="B18" s="3" t="s">
        <v>33</v>
      </c>
      <c r="C18" s="10">
        <v>28.9</v>
      </c>
      <c r="D18" s="10">
        <v>29</v>
      </c>
      <c r="E18" s="10">
        <v>29</v>
      </c>
      <c r="F18" s="12" t="s">
        <v>35</v>
      </c>
      <c r="I18" s="241"/>
      <c r="J18" s="241"/>
    </row>
    <row r="19" spans="1:12">
      <c r="A19" s="55" t="s">
        <v>99</v>
      </c>
      <c r="B19" s="3" t="s">
        <v>33</v>
      </c>
      <c r="C19" s="10">
        <v>29</v>
      </c>
      <c r="D19" s="10">
        <v>29</v>
      </c>
      <c r="E19" s="10">
        <v>28.8</v>
      </c>
      <c r="F19" s="12" t="s">
        <v>35</v>
      </c>
      <c r="I19" s="241"/>
      <c r="J19" s="241"/>
    </row>
    <row r="20" spans="1:12">
      <c r="A20" s="55" t="s">
        <v>100</v>
      </c>
      <c r="B20" s="3" t="s">
        <v>33</v>
      </c>
      <c r="C20" s="10" t="s">
        <v>42</v>
      </c>
      <c r="D20" s="10" t="s">
        <v>42</v>
      </c>
      <c r="E20" s="11" t="s">
        <v>34</v>
      </c>
      <c r="F20" s="12" t="s">
        <v>35</v>
      </c>
      <c r="I20" s="241"/>
      <c r="J20" s="241"/>
    </row>
    <row r="21" spans="1:12">
      <c r="A21" s="9" t="s">
        <v>43</v>
      </c>
      <c r="B21" s="3" t="s">
        <v>33</v>
      </c>
      <c r="C21" s="10" t="s">
        <v>42</v>
      </c>
      <c r="D21" s="10" t="s">
        <v>42</v>
      </c>
      <c r="E21" s="11" t="s">
        <v>34</v>
      </c>
      <c r="F21" s="12" t="s">
        <v>35</v>
      </c>
      <c r="I21" s="241"/>
      <c r="J21" s="241"/>
    </row>
    <row r="22" spans="1:12" ht="15.75" thickBot="1">
      <c r="A22" s="13" t="s">
        <v>44</v>
      </c>
      <c r="B22" s="14" t="s">
        <v>33</v>
      </c>
      <c r="C22" s="15" t="s">
        <v>42</v>
      </c>
      <c r="D22" s="15" t="s">
        <v>42</v>
      </c>
      <c r="E22" s="16" t="s">
        <v>34</v>
      </c>
      <c r="F22" s="17" t="s">
        <v>35</v>
      </c>
      <c r="I22" s="241"/>
      <c r="J22" s="241"/>
    </row>
    <row r="23" spans="1:12">
      <c r="I23" s="241"/>
      <c r="J23" s="241"/>
    </row>
    <row r="30" spans="1:12" ht="15.75" thickBot="1"/>
    <row r="31" spans="1:12" ht="15.75" thickBot="1">
      <c r="A31" s="235" t="s">
        <v>45</v>
      </c>
      <c r="B31" s="236"/>
      <c r="C31" s="236"/>
      <c r="D31" s="236"/>
      <c r="E31" s="243"/>
      <c r="F31" s="243"/>
      <c r="G31" s="243"/>
      <c r="H31" s="236"/>
      <c r="I31" s="236"/>
      <c r="J31" s="236"/>
      <c r="K31" s="236"/>
      <c r="L31" s="237"/>
    </row>
    <row r="32" spans="1:12" ht="45.75" thickBot="1">
      <c r="A32" s="58" t="s">
        <v>2</v>
      </c>
      <c r="B32" s="59" t="s">
        <v>70</v>
      </c>
      <c r="C32" s="59" t="s">
        <v>47</v>
      </c>
      <c r="D32" s="59" t="s">
        <v>27</v>
      </c>
      <c r="E32" s="65" t="s">
        <v>28</v>
      </c>
      <c r="F32" s="65" t="s">
        <v>29</v>
      </c>
      <c r="G32" s="65" t="s">
        <v>30</v>
      </c>
      <c r="H32" s="59" t="s">
        <v>31</v>
      </c>
      <c r="I32" s="59" t="s">
        <v>27</v>
      </c>
      <c r="J32" s="59" t="s">
        <v>28</v>
      </c>
      <c r="K32" s="59" t="s">
        <v>29</v>
      </c>
      <c r="L32" s="60" t="s">
        <v>30</v>
      </c>
    </row>
    <row r="33" spans="1:12">
      <c r="A33" s="61" t="s">
        <v>32</v>
      </c>
      <c r="B33" s="62"/>
      <c r="C33" s="62"/>
      <c r="D33" s="62" t="s">
        <v>33</v>
      </c>
      <c r="E33" s="71">
        <v>20.462787628173828</v>
      </c>
      <c r="F33" s="71">
        <v>20.478761672973633</v>
      </c>
      <c r="G33" s="71">
        <v>20.399045944213867</v>
      </c>
      <c r="H33" s="62"/>
      <c r="I33" s="62"/>
      <c r="J33" s="62"/>
      <c r="K33" s="62"/>
      <c r="L33" s="63"/>
    </row>
    <row r="34" spans="1:12">
      <c r="A34" s="9" t="s">
        <v>48</v>
      </c>
      <c r="B34" s="10"/>
      <c r="C34" s="10"/>
      <c r="D34" s="10" t="s">
        <v>33</v>
      </c>
      <c r="E34" s="69">
        <v>24.069675445556641</v>
      </c>
      <c r="F34" s="69">
        <v>24.055591583251953</v>
      </c>
      <c r="G34" s="69">
        <v>23.990074157714844</v>
      </c>
      <c r="H34" s="10"/>
      <c r="I34" s="10"/>
      <c r="J34" s="10"/>
      <c r="K34" s="10"/>
      <c r="L34" s="12"/>
    </row>
    <row r="35" spans="1:12">
      <c r="A35" s="9" t="s">
        <v>49</v>
      </c>
      <c r="B35" s="10"/>
      <c r="C35" s="10"/>
      <c r="D35" s="10" t="s">
        <v>33</v>
      </c>
      <c r="E35" s="69">
        <v>27.449230194091797</v>
      </c>
      <c r="F35" s="69">
        <v>27.377090454101563</v>
      </c>
      <c r="G35" s="69">
        <v>27.35333251953125</v>
      </c>
      <c r="H35" s="10"/>
      <c r="I35" s="10"/>
      <c r="J35" s="10"/>
      <c r="K35" s="10"/>
      <c r="L35" s="12"/>
    </row>
    <row r="36" spans="1:12">
      <c r="A36" s="9" t="s">
        <v>50</v>
      </c>
      <c r="B36" s="10"/>
      <c r="C36" s="10"/>
      <c r="D36" s="10" t="s">
        <v>33</v>
      </c>
      <c r="E36" s="69">
        <v>30.629251480102539</v>
      </c>
      <c r="F36" s="69">
        <v>30.56471061706543</v>
      </c>
      <c r="G36" s="69">
        <v>30.634933471679688</v>
      </c>
      <c r="H36" s="10"/>
      <c r="I36" s="10"/>
      <c r="J36" s="10"/>
      <c r="K36" s="10"/>
      <c r="L36" s="12"/>
    </row>
    <row r="37" spans="1:12">
      <c r="A37" s="9" t="s">
        <v>36</v>
      </c>
      <c r="B37" s="10"/>
      <c r="C37" s="10"/>
      <c r="D37" s="10" t="s">
        <v>33</v>
      </c>
      <c r="E37" s="69">
        <v>34.271244049072266</v>
      </c>
      <c r="F37" s="69">
        <v>33.610923767089844</v>
      </c>
      <c r="G37" s="69">
        <v>33.856788635253906</v>
      </c>
      <c r="H37" s="10"/>
      <c r="I37" s="10"/>
      <c r="J37" s="10"/>
      <c r="K37" s="10"/>
      <c r="L37" s="12"/>
    </row>
    <row r="38" spans="1:12">
      <c r="A38" s="9" t="s">
        <v>51</v>
      </c>
      <c r="B38" s="10"/>
      <c r="C38" s="10"/>
      <c r="D38" s="10" t="s">
        <v>33</v>
      </c>
      <c r="E38" s="69">
        <v>36.108188629150391</v>
      </c>
      <c r="F38" s="69">
        <v>38.974224090576172</v>
      </c>
      <c r="G38" s="69">
        <v>36.846538543701172</v>
      </c>
      <c r="H38" s="10"/>
      <c r="I38" s="10"/>
      <c r="J38" s="57"/>
      <c r="K38" s="57"/>
      <c r="L38" s="64"/>
    </row>
    <row r="39" spans="1:12">
      <c r="A39" s="9" t="s">
        <v>101</v>
      </c>
      <c r="B39" s="10" t="s">
        <v>53</v>
      </c>
      <c r="C39" s="10"/>
      <c r="D39" s="10" t="s">
        <v>33</v>
      </c>
      <c r="E39" s="69">
        <v>27.497293472290039</v>
      </c>
      <c r="F39" s="69">
        <v>27.457851409912109</v>
      </c>
      <c r="G39" s="69">
        <v>27.376773834228516</v>
      </c>
      <c r="H39" s="73" t="s">
        <v>54</v>
      </c>
      <c r="I39" s="73" t="s">
        <v>55</v>
      </c>
      <c r="J39" s="69">
        <v>28.939855575561523</v>
      </c>
      <c r="K39" s="69">
        <v>29.087066650390625</v>
      </c>
      <c r="L39" s="74">
        <v>29.280458450317383</v>
      </c>
    </row>
    <row r="40" spans="1:12">
      <c r="A40" s="9" t="s">
        <v>98</v>
      </c>
      <c r="B40" s="10" t="s">
        <v>14</v>
      </c>
      <c r="C40" s="10"/>
      <c r="D40" s="10" t="s">
        <v>33</v>
      </c>
      <c r="E40" s="69">
        <v>27.908662796020508</v>
      </c>
      <c r="F40" s="69">
        <v>27.980592727661133</v>
      </c>
      <c r="G40" s="69">
        <v>27.884199142456055</v>
      </c>
      <c r="H40" s="73" t="s">
        <v>54</v>
      </c>
      <c r="I40" s="73" t="s">
        <v>55</v>
      </c>
      <c r="J40" s="69">
        <v>29.165407180786133</v>
      </c>
      <c r="K40" s="69">
        <v>29.249000549316406</v>
      </c>
      <c r="L40" s="74">
        <v>29.069553375244141</v>
      </c>
    </row>
    <row r="41" spans="1:12">
      <c r="A41" s="9" t="s">
        <v>102</v>
      </c>
      <c r="B41" s="10" t="s">
        <v>53</v>
      </c>
      <c r="C41" s="10"/>
      <c r="D41" s="10" t="s">
        <v>33</v>
      </c>
      <c r="E41" s="69">
        <v>28.041946411132813</v>
      </c>
      <c r="F41" s="69">
        <v>28.06390380859375</v>
      </c>
      <c r="G41" s="69">
        <v>28.009361267089844</v>
      </c>
      <c r="H41" s="73" t="s">
        <v>54</v>
      </c>
      <c r="I41" s="73" t="s">
        <v>55</v>
      </c>
      <c r="J41" s="69">
        <v>29.213016510009766</v>
      </c>
      <c r="K41" s="69">
        <v>29.254467010498047</v>
      </c>
      <c r="L41" s="74">
        <v>29.273094177246094</v>
      </c>
    </row>
    <row r="42" spans="1:12">
      <c r="A42" s="9" t="s">
        <v>99</v>
      </c>
      <c r="B42" s="19" t="s">
        <v>14</v>
      </c>
      <c r="C42" s="19"/>
      <c r="D42" s="10" t="s">
        <v>33</v>
      </c>
      <c r="E42" s="69">
        <v>27.98756217956543</v>
      </c>
      <c r="F42" s="69">
        <v>28.045314788818359</v>
      </c>
      <c r="G42" s="69">
        <v>27.97834587097168</v>
      </c>
      <c r="H42" s="73" t="s">
        <v>54</v>
      </c>
      <c r="I42" s="73" t="s">
        <v>55</v>
      </c>
      <c r="J42" s="69">
        <v>29.16047477722168</v>
      </c>
      <c r="K42" s="69">
        <v>29.173864364624023</v>
      </c>
      <c r="L42" s="74">
        <v>29.427595138549805</v>
      </c>
    </row>
    <row r="43" spans="1:12" s="23" customFormat="1">
      <c r="A43" s="20" t="s">
        <v>103</v>
      </c>
      <c r="B43" s="21" t="s">
        <v>53</v>
      </c>
      <c r="C43" s="21"/>
      <c r="D43" s="22" t="s">
        <v>33</v>
      </c>
      <c r="E43" s="69" t="s">
        <v>42</v>
      </c>
      <c r="F43" s="69">
        <v>38.435478210449219</v>
      </c>
      <c r="G43" s="69">
        <v>38.361370086669922</v>
      </c>
      <c r="H43" s="75" t="s">
        <v>54</v>
      </c>
      <c r="I43" s="75" t="s">
        <v>55</v>
      </c>
      <c r="J43" s="69">
        <v>29.623788833618164</v>
      </c>
      <c r="K43" s="69">
        <v>29.627368927001953</v>
      </c>
      <c r="L43" s="74">
        <v>29.642951965332031</v>
      </c>
    </row>
    <row r="44" spans="1:12" s="23" customFormat="1">
      <c r="A44" s="20" t="s">
        <v>100</v>
      </c>
      <c r="B44" s="21" t="s">
        <v>14</v>
      </c>
      <c r="C44" s="21"/>
      <c r="D44" s="22" t="s">
        <v>33</v>
      </c>
      <c r="E44" s="69" t="s">
        <v>42</v>
      </c>
      <c r="F44" s="69" t="s">
        <v>42</v>
      </c>
      <c r="G44" s="69" t="s">
        <v>42</v>
      </c>
      <c r="H44" s="75" t="s">
        <v>54</v>
      </c>
      <c r="I44" s="75" t="s">
        <v>55</v>
      </c>
      <c r="J44" s="69">
        <v>29.638553619384766</v>
      </c>
      <c r="K44" s="69">
        <v>29.276126861572266</v>
      </c>
      <c r="L44" s="74">
        <v>29.605697631835938</v>
      </c>
    </row>
    <row r="45" spans="1:12" s="23" customFormat="1">
      <c r="A45" s="24" t="s">
        <v>43</v>
      </c>
      <c r="B45" s="21" t="s">
        <v>14</v>
      </c>
      <c r="C45" s="21"/>
      <c r="D45" s="22" t="s">
        <v>33</v>
      </c>
      <c r="E45" s="75"/>
      <c r="F45" s="75"/>
      <c r="G45" s="75"/>
      <c r="H45" s="75" t="s">
        <v>54</v>
      </c>
      <c r="I45" s="75" t="s">
        <v>55</v>
      </c>
      <c r="J45" s="75"/>
      <c r="K45" s="75"/>
      <c r="L45" s="76"/>
    </row>
    <row r="46" spans="1:12" s="23" customFormat="1">
      <c r="A46" s="20" t="s">
        <v>89</v>
      </c>
      <c r="B46" s="21" t="s">
        <v>53</v>
      </c>
      <c r="C46" s="21"/>
      <c r="D46" s="22" t="s">
        <v>33</v>
      </c>
      <c r="E46" s="69" t="s">
        <v>42</v>
      </c>
      <c r="F46" s="69" t="s">
        <v>42</v>
      </c>
      <c r="G46" s="69" t="s">
        <v>42</v>
      </c>
      <c r="H46" s="75" t="s">
        <v>54</v>
      </c>
      <c r="I46" s="75" t="s">
        <v>55</v>
      </c>
      <c r="J46" s="69">
        <v>29.814973831176758</v>
      </c>
      <c r="K46" s="69">
        <v>29.537591934204102</v>
      </c>
      <c r="L46" s="74">
        <v>29.464000701904297</v>
      </c>
    </row>
    <row r="47" spans="1:12" ht="15.75" thickBot="1">
      <c r="A47" s="13" t="s">
        <v>44</v>
      </c>
      <c r="B47" s="15"/>
      <c r="C47" s="15"/>
      <c r="D47" s="15" t="s">
        <v>33</v>
      </c>
      <c r="E47" s="79" t="s">
        <v>42</v>
      </c>
      <c r="F47" s="79" t="s">
        <v>42</v>
      </c>
      <c r="G47" s="79" t="s">
        <v>42</v>
      </c>
      <c r="H47" s="78" t="s">
        <v>54</v>
      </c>
      <c r="I47" s="78" t="s">
        <v>55</v>
      </c>
      <c r="J47" s="79">
        <v>29.699832916259766</v>
      </c>
      <c r="K47" s="79">
        <v>29.82636833190918</v>
      </c>
      <c r="L47" s="80">
        <v>29.798866271972656</v>
      </c>
    </row>
  </sheetData>
  <mergeCells count="6">
    <mergeCell ref="A1:I1"/>
    <mergeCell ref="H3:H7"/>
    <mergeCell ref="A14:F14"/>
    <mergeCell ref="A31:L31"/>
    <mergeCell ref="A13:F13"/>
    <mergeCell ref="I15:J23"/>
  </mergeCells>
  <pageMargins left="0.7" right="0.7" top="0.75" bottom="0.75" header="0.3" footer="0.3"/>
  <headerFooter>
    <oddHeader>&amp;R&amp;"Aptos"&amp;12&amp;K000000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1C78F-28F4-4670-A2C5-273BFD53ADA1}">
  <dimension ref="A1:L52"/>
  <sheetViews>
    <sheetView workbookViewId="0">
      <selection activeCell="A14" sqref="A14:F22"/>
    </sheetView>
  </sheetViews>
  <sheetFormatPr defaultColWidth="22" defaultRowHeight="15"/>
  <cols>
    <col min="3" max="3" width="16.85546875" bestFit="1" customWidth="1"/>
    <col min="9" max="9" width="82.42578125" customWidth="1"/>
  </cols>
  <sheetData>
    <row r="1" spans="1:10" ht="21">
      <c r="A1" s="231" t="s">
        <v>0</v>
      </c>
      <c r="B1" s="231"/>
      <c r="C1" s="231"/>
      <c r="D1" s="231"/>
      <c r="E1" s="231"/>
      <c r="F1" s="231"/>
      <c r="G1" s="231"/>
      <c r="H1" s="231"/>
      <c r="I1" s="231"/>
    </row>
    <row r="2" spans="1:10" ht="60">
      <c r="A2" s="1" t="s">
        <v>1</v>
      </c>
      <c r="B2" s="1" t="s">
        <v>2</v>
      </c>
      <c r="C2" s="1" t="s">
        <v>3</v>
      </c>
      <c r="D2" s="1" t="s">
        <v>4</v>
      </c>
      <c r="E2" s="1" t="s">
        <v>5</v>
      </c>
      <c r="F2" s="1" t="s">
        <v>6</v>
      </c>
      <c r="G2" s="1" t="s">
        <v>7</v>
      </c>
      <c r="H2" s="1" t="s">
        <v>8</v>
      </c>
      <c r="I2" s="1" t="s">
        <v>9</v>
      </c>
    </row>
    <row r="3" spans="1:10">
      <c r="A3" s="3" t="s">
        <v>10</v>
      </c>
      <c r="B3" s="3" t="s">
        <v>104</v>
      </c>
      <c r="C3" s="3" t="s">
        <v>12</v>
      </c>
      <c r="D3" s="3" t="s">
        <v>13</v>
      </c>
      <c r="E3" s="3" t="s">
        <v>14</v>
      </c>
      <c r="F3" s="4">
        <v>45685</v>
      </c>
      <c r="G3" s="3" t="s">
        <v>105</v>
      </c>
      <c r="H3" s="232" t="s">
        <v>16</v>
      </c>
      <c r="I3" s="5"/>
    </row>
    <row r="4" spans="1:10">
      <c r="A4" s="3" t="s">
        <v>10</v>
      </c>
      <c r="B4" s="3" t="s">
        <v>106</v>
      </c>
      <c r="C4" s="3" t="s">
        <v>12</v>
      </c>
      <c r="D4" s="3" t="s">
        <v>13</v>
      </c>
      <c r="E4" s="3" t="s">
        <v>14</v>
      </c>
      <c r="F4" s="4">
        <v>45685</v>
      </c>
      <c r="G4" s="3" t="s">
        <v>105</v>
      </c>
      <c r="H4" s="233"/>
      <c r="I4" s="5"/>
    </row>
    <row r="5" spans="1:10">
      <c r="A5" s="3" t="s">
        <v>10</v>
      </c>
      <c r="B5" s="3" t="s">
        <v>107</v>
      </c>
      <c r="C5" s="3" t="s">
        <v>12</v>
      </c>
      <c r="D5" s="3" t="s">
        <v>13</v>
      </c>
      <c r="E5" s="3" t="s">
        <v>14</v>
      </c>
      <c r="F5" s="4">
        <v>45685</v>
      </c>
      <c r="G5" s="3" t="s">
        <v>105</v>
      </c>
      <c r="H5" s="233"/>
      <c r="I5" s="5"/>
    </row>
    <row r="6" spans="1:10">
      <c r="A6" s="3" t="s">
        <v>10</v>
      </c>
      <c r="B6" s="56" t="s">
        <v>108</v>
      </c>
      <c r="C6" s="3" t="s">
        <v>12</v>
      </c>
      <c r="D6" s="3" t="s">
        <v>20</v>
      </c>
      <c r="E6" s="3" t="s">
        <v>14</v>
      </c>
      <c r="F6" s="4">
        <v>45685</v>
      </c>
      <c r="G6" s="3" t="s">
        <v>105</v>
      </c>
      <c r="H6" s="233"/>
      <c r="I6" s="5"/>
    </row>
    <row r="7" spans="1:10">
      <c r="A7" s="3" t="s">
        <v>10</v>
      </c>
      <c r="B7" s="3" t="s">
        <v>21</v>
      </c>
      <c r="C7" s="3"/>
      <c r="D7" s="3" t="s">
        <v>23</v>
      </c>
      <c r="E7" s="3" t="s">
        <v>14</v>
      </c>
      <c r="F7" s="4">
        <v>45685</v>
      </c>
      <c r="G7" s="3" t="s">
        <v>105</v>
      </c>
      <c r="H7" s="234"/>
      <c r="I7" s="5"/>
    </row>
    <row r="9" spans="1:10">
      <c r="A9" s="26" t="s">
        <v>24</v>
      </c>
    </row>
    <row r="13" spans="1:10" ht="15.75" thickBot="1"/>
    <row r="14" spans="1:10" ht="15.75" thickBot="1">
      <c r="A14" s="235" t="s">
        <v>25</v>
      </c>
      <c r="B14" s="236"/>
      <c r="C14" s="236"/>
      <c r="D14" s="236"/>
      <c r="E14" s="236"/>
      <c r="F14" s="237"/>
    </row>
    <row r="15" spans="1:10" ht="30">
      <c r="A15" s="6" t="s">
        <v>2</v>
      </c>
      <c r="B15" s="7" t="s">
        <v>27</v>
      </c>
      <c r="C15" s="7" t="s">
        <v>28</v>
      </c>
      <c r="D15" s="7" t="s">
        <v>29</v>
      </c>
      <c r="E15" s="7" t="s">
        <v>30</v>
      </c>
      <c r="F15" s="8" t="s">
        <v>31</v>
      </c>
      <c r="I15" s="241" t="s">
        <v>109</v>
      </c>
      <c r="J15" s="241"/>
    </row>
    <row r="16" spans="1:10">
      <c r="A16" s="9" t="s">
        <v>32</v>
      </c>
      <c r="B16" s="3" t="s">
        <v>33</v>
      </c>
      <c r="C16" s="10">
        <v>22.1</v>
      </c>
      <c r="D16" s="10">
        <v>22</v>
      </c>
      <c r="E16" s="11" t="s">
        <v>34</v>
      </c>
      <c r="F16" s="12" t="s">
        <v>35</v>
      </c>
      <c r="I16" s="241"/>
      <c r="J16" s="241"/>
    </row>
    <row r="17" spans="1:12">
      <c r="A17" s="9" t="s">
        <v>36</v>
      </c>
      <c r="B17" s="3" t="s">
        <v>33</v>
      </c>
      <c r="C17" s="10">
        <v>35</v>
      </c>
      <c r="D17" s="10">
        <v>35.6</v>
      </c>
      <c r="E17" s="11" t="s">
        <v>34</v>
      </c>
      <c r="F17" s="12" t="s">
        <v>35</v>
      </c>
      <c r="I17" s="241"/>
      <c r="J17" s="241"/>
    </row>
    <row r="18" spans="1:12">
      <c r="A18" s="55" t="s">
        <v>110</v>
      </c>
      <c r="B18" s="3" t="s">
        <v>33</v>
      </c>
      <c r="C18" s="10">
        <v>27.9</v>
      </c>
      <c r="D18" s="10">
        <v>27.9</v>
      </c>
      <c r="E18" s="10">
        <v>27.6</v>
      </c>
      <c r="F18" s="12" t="s">
        <v>35</v>
      </c>
      <c r="I18" s="241"/>
      <c r="J18" s="241"/>
    </row>
    <row r="19" spans="1:12">
      <c r="A19" s="55" t="s">
        <v>111</v>
      </c>
      <c r="B19" s="3" t="s">
        <v>33</v>
      </c>
      <c r="C19" s="10">
        <v>28.2</v>
      </c>
      <c r="D19" s="10">
        <v>28.2</v>
      </c>
      <c r="E19" s="10">
        <v>28.1</v>
      </c>
      <c r="F19" s="12" t="s">
        <v>35</v>
      </c>
      <c r="I19" s="241"/>
      <c r="J19" s="241"/>
    </row>
    <row r="20" spans="1:12">
      <c r="A20" s="55" t="s">
        <v>112</v>
      </c>
      <c r="B20" s="3" t="s">
        <v>33</v>
      </c>
      <c r="C20" s="10">
        <v>28.1</v>
      </c>
      <c r="D20" s="10">
        <v>28.5</v>
      </c>
      <c r="E20" s="11" t="s">
        <v>34</v>
      </c>
      <c r="F20" s="12" t="s">
        <v>35</v>
      </c>
      <c r="I20" s="241"/>
      <c r="J20" s="241"/>
    </row>
    <row r="21" spans="1:12">
      <c r="A21" s="9" t="s">
        <v>43</v>
      </c>
      <c r="B21" s="3" t="s">
        <v>33</v>
      </c>
      <c r="C21" s="10" t="s">
        <v>42</v>
      </c>
      <c r="D21" s="10" t="s">
        <v>42</v>
      </c>
      <c r="E21" s="11" t="s">
        <v>34</v>
      </c>
      <c r="F21" s="12" t="s">
        <v>35</v>
      </c>
      <c r="I21" s="241"/>
      <c r="J21" s="241"/>
    </row>
    <row r="22" spans="1:12" ht="15.75" thickBot="1">
      <c r="A22" s="13" t="s">
        <v>44</v>
      </c>
      <c r="B22" s="14" t="s">
        <v>33</v>
      </c>
      <c r="C22" s="15" t="s">
        <v>42</v>
      </c>
      <c r="D22" s="15" t="s">
        <v>42</v>
      </c>
      <c r="E22" s="16" t="s">
        <v>34</v>
      </c>
      <c r="F22" s="17" t="s">
        <v>35</v>
      </c>
      <c r="I22" s="241"/>
      <c r="J22" s="241"/>
    </row>
    <row r="23" spans="1:12">
      <c r="A23" s="43" t="s">
        <v>113</v>
      </c>
      <c r="I23" s="241"/>
      <c r="J23" s="241"/>
    </row>
    <row r="30" spans="1:12" ht="15.75" thickBot="1"/>
    <row r="31" spans="1:12" ht="15.75" thickBot="1">
      <c r="A31" s="235" t="s">
        <v>45</v>
      </c>
      <c r="B31" s="236"/>
      <c r="C31" s="236"/>
      <c r="D31" s="236"/>
      <c r="E31" s="236"/>
      <c r="F31" s="236"/>
      <c r="G31" s="236"/>
      <c r="H31" s="236"/>
      <c r="I31" s="236"/>
      <c r="J31" s="236"/>
      <c r="K31" s="236"/>
      <c r="L31" s="237"/>
    </row>
    <row r="32" spans="1:12" ht="45.75" thickBot="1">
      <c r="A32" s="58" t="s">
        <v>2</v>
      </c>
      <c r="B32" s="59" t="s">
        <v>70</v>
      </c>
      <c r="C32" s="59" t="s">
        <v>47</v>
      </c>
      <c r="D32" s="59" t="s">
        <v>27</v>
      </c>
      <c r="E32" s="59" t="s">
        <v>28</v>
      </c>
      <c r="F32" s="59" t="s">
        <v>29</v>
      </c>
      <c r="G32" s="59" t="s">
        <v>30</v>
      </c>
      <c r="H32" s="59" t="s">
        <v>31</v>
      </c>
      <c r="I32" s="59" t="s">
        <v>27</v>
      </c>
      <c r="J32" s="59" t="s">
        <v>28</v>
      </c>
      <c r="K32" s="59" t="s">
        <v>29</v>
      </c>
      <c r="L32" s="60" t="s">
        <v>30</v>
      </c>
    </row>
    <row r="33" spans="1:12">
      <c r="A33" s="61" t="s">
        <v>32</v>
      </c>
      <c r="B33" s="62"/>
      <c r="C33" s="62"/>
      <c r="D33" s="88" t="s">
        <v>33</v>
      </c>
      <c r="E33" s="91">
        <v>20.462787628173828</v>
      </c>
      <c r="F33" s="71">
        <v>20.478761672973633</v>
      </c>
      <c r="G33" s="71">
        <v>20.399045944213867</v>
      </c>
      <c r="H33" s="62"/>
      <c r="I33" s="62"/>
      <c r="J33" s="62"/>
      <c r="K33" s="62"/>
      <c r="L33" s="63"/>
    </row>
    <row r="34" spans="1:12">
      <c r="A34" s="9" t="s">
        <v>48</v>
      </c>
      <c r="B34" s="10"/>
      <c r="C34" s="10"/>
      <c r="D34" s="37" t="s">
        <v>33</v>
      </c>
      <c r="E34" s="92">
        <v>24.069675445556641</v>
      </c>
      <c r="F34" s="69">
        <v>24.055591583251953</v>
      </c>
      <c r="G34" s="69">
        <v>23.990074157714844</v>
      </c>
      <c r="H34" s="10"/>
      <c r="I34" s="10"/>
      <c r="J34" s="10"/>
      <c r="K34" s="10"/>
      <c r="L34" s="12"/>
    </row>
    <row r="35" spans="1:12">
      <c r="A35" s="9" t="s">
        <v>49</v>
      </c>
      <c r="B35" s="10"/>
      <c r="C35" s="10"/>
      <c r="D35" s="37" t="s">
        <v>33</v>
      </c>
      <c r="E35" s="92">
        <v>27.449230194091797</v>
      </c>
      <c r="F35" s="69">
        <v>27.377090454101563</v>
      </c>
      <c r="G35" s="69">
        <v>27.35333251953125</v>
      </c>
      <c r="H35" s="10"/>
      <c r="I35" s="10"/>
      <c r="J35" s="10"/>
      <c r="K35" s="10"/>
      <c r="L35" s="12"/>
    </row>
    <row r="36" spans="1:12">
      <c r="A36" s="9" t="s">
        <v>50</v>
      </c>
      <c r="B36" s="10"/>
      <c r="C36" s="10"/>
      <c r="D36" s="37" t="s">
        <v>33</v>
      </c>
      <c r="E36" s="92">
        <v>30.629251480102539</v>
      </c>
      <c r="F36" s="69">
        <v>30.56471061706543</v>
      </c>
      <c r="G36" s="69">
        <v>30.634933471679688</v>
      </c>
      <c r="H36" s="73"/>
      <c r="I36" s="73"/>
      <c r="J36" s="73"/>
      <c r="K36" s="73"/>
      <c r="L36" s="81"/>
    </row>
    <row r="37" spans="1:12">
      <c r="A37" s="9" t="s">
        <v>36</v>
      </c>
      <c r="B37" s="10"/>
      <c r="C37" s="10"/>
      <c r="D37" s="37" t="s">
        <v>33</v>
      </c>
      <c r="E37" s="92">
        <v>34.271244049072266</v>
      </c>
      <c r="F37" s="69">
        <v>33.610923767089844</v>
      </c>
      <c r="G37" s="69">
        <v>33.856788635253906</v>
      </c>
      <c r="H37" s="73"/>
      <c r="I37" s="73"/>
      <c r="J37" s="73"/>
      <c r="K37" s="73"/>
      <c r="L37" s="81"/>
    </row>
    <row r="38" spans="1:12">
      <c r="A38" s="9" t="s">
        <v>51</v>
      </c>
      <c r="B38" s="10"/>
      <c r="C38" s="10"/>
      <c r="D38" s="37" t="s">
        <v>33</v>
      </c>
      <c r="E38" s="92">
        <v>36.108188629150391</v>
      </c>
      <c r="F38" s="69">
        <v>38.974224090576172</v>
      </c>
      <c r="G38" s="69">
        <v>36.846538543701172</v>
      </c>
      <c r="H38" s="73"/>
      <c r="I38" s="73"/>
      <c r="J38" s="73"/>
      <c r="K38" s="73"/>
      <c r="L38" s="81"/>
    </row>
    <row r="39" spans="1:12">
      <c r="A39" s="9" t="s">
        <v>114</v>
      </c>
      <c r="B39" s="10" t="s">
        <v>53</v>
      </c>
      <c r="C39" s="10"/>
      <c r="D39" s="37" t="s">
        <v>33</v>
      </c>
      <c r="E39" s="92">
        <v>26.798322677612305</v>
      </c>
      <c r="F39" s="69">
        <v>26.829397201538086</v>
      </c>
      <c r="G39" s="69">
        <v>26.761547088623047</v>
      </c>
      <c r="H39" s="73" t="s">
        <v>54</v>
      </c>
      <c r="I39" s="73" t="s">
        <v>55</v>
      </c>
      <c r="J39" s="69">
        <v>28.890153884887695</v>
      </c>
      <c r="K39" s="69">
        <v>28.98240852355957</v>
      </c>
      <c r="L39" s="74">
        <v>28.906465530395508</v>
      </c>
    </row>
    <row r="40" spans="1:12">
      <c r="A40" s="9" t="s">
        <v>110</v>
      </c>
      <c r="B40" s="10" t="s">
        <v>14</v>
      </c>
      <c r="C40" s="10"/>
      <c r="D40" s="37" t="s">
        <v>33</v>
      </c>
      <c r="E40" s="92">
        <v>27.052907943725586</v>
      </c>
      <c r="F40" s="69">
        <v>26.99644660949707</v>
      </c>
      <c r="G40" s="69">
        <v>27.02470588684082</v>
      </c>
      <c r="H40" s="73" t="s">
        <v>54</v>
      </c>
      <c r="I40" s="73" t="s">
        <v>55</v>
      </c>
      <c r="J40" s="69">
        <v>28.996545791625977</v>
      </c>
      <c r="K40" s="69">
        <v>29.016971588134766</v>
      </c>
      <c r="L40" s="74">
        <v>28.861494064331055</v>
      </c>
    </row>
    <row r="41" spans="1:12">
      <c r="A41" s="9" t="s">
        <v>115</v>
      </c>
      <c r="B41" s="10" t="s">
        <v>53</v>
      </c>
      <c r="C41" s="10"/>
      <c r="D41" s="37" t="s">
        <v>33</v>
      </c>
      <c r="E41" s="92">
        <v>27.131267547607422</v>
      </c>
      <c r="F41" s="69">
        <v>27.062820434570313</v>
      </c>
      <c r="G41" s="69">
        <v>27.071315765380859</v>
      </c>
      <c r="H41" s="73" t="s">
        <v>54</v>
      </c>
      <c r="I41" s="73" t="s">
        <v>55</v>
      </c>
      <c r="J41" s="69">
        <v>29.125326156616211</v>
      </c>
      <c r="K41" s="69">
        <v>29.062170028686523</v>
      </c>
      <c r="L41" s="74">
        <v>28.944648742675781</v>
      </c>
    </row>
    <row r="42" spans="1:12">
      <c r="A42" s="9" t="s">
        <v>116</v>
      </c>
      <c r="B42" s="19" t="s">
        <v>14</v>
      </c>
      <c r="C42" s="19"/>
      <c r="D42" s="37" t="s">
        <v>33</v>
      </c>
      <c r="E42" s="92">
        <v>29.084983825683594</v>
      </c>
      <c r="F42" s="69">
        <v>29.079376220703125</v>
      </c>
      <c r="G42" s="69">
        <v>29.025020599365234</v>
      </c>
      <c r="H42" s="73" t="s">
        <v>54</v>
      </c>
      <c r="I42" s="73" t="s">
        <v>55</v>
      </c>
      <c r="J42" s="69">
        <v>29.352790832519531</v>
      </c>
      <c r="K42" s="69">
        <v>29.231058120727539</v>
      </c>
      <c r="L42" s="74">
        <v>29.275827407836914</v>
      </c>
    </row>
    <row r="43" spans="1:12">
      <c r="A43" s="9" t="s">
        <v>117</v>
      </c>
      <c r="B43" s="19" t="s">
        <v>53</v>
      </c>
      <c r="C43" s="19"/>
      <c r="D43" s="37" t="s">
        <v>33</v>
      </c>
      <c r="E43" s="92">
        <v>27.080070495605469</v>
      </c>
      <c r="F43" s="69">
        <v>27.047697067260742</v>
      </c>
      <c r="G43" s="69">
        <v>27.03045654296875</v>
      </c>
      <c r="H43" s="73" t="s">
        <v>54</v>
      </c>
      <c r="I43" s="73" t="s">
        <v>55</v>
      </c>
      <c r="J43" s="69">
        <v>28.973579406738281</v>
      </c>
      <c r="K43" s="69">
        <v>28.869211196899414</v>
      </c>
      <c r="L43" s="74">
        <v>29.094991683959961</v>
      </c>
    </row>
    <row r="44" spans="1:12">
      <c r="A44" s="9" t="s">
        <v>111</v>
      </c>
      <c r="B44" s="19" t="s">
        <v>14</v>
      </c>
      <c r="C44" s="19"/>
      <c r="D44" s="37" t="s">
        <v>33</v>
      </c>
      <c r="E44" s="92">
        <v>27.210287094116211</v>
      </c>
      <c r="F44" s="69">
        <v>27.228553771972656</v>
      </c>
      <c r="G44" s="69">
        <v>27.275283813476563</v>
      </c>
      <c r="H44" s="73" t="s">
        <v>54</v>
      </c>
      <c r="I44" s="73" t="s">
        <v>55</v>
      </c>
      <c r="J44" s="69">
        <v>28.978481292724609</v>
      </c>
      <c r="K44" s="69">
        <v>28.825769424438477</v>
      </c>
      <c r="L44" s="74">
        <v>29.002853393554688</v>
      </c>
    </row>
    <row r="45" spans="1:12" s="23" customFormat="1">
      <c r="A45" s="20" t="s">
        <v>118</v>
      </c>
      <c r="B45" s="21" t="s">
        <v>53</v>
      </c>
      <c r="C45" s="21"/>
      <c r="D45" s="89" t="s">
        <v>33</v>
      </c>
      <c r="E45" s="93" t="s">
        <v>42</v>
      </c>
      <c r="F45" s="75" t="s">
        <v>42</v>
      </c>
      <c r="G45" s="75" t="s">
        <v>42</v>
      </c>
      <c r="H45" s="75" t="s">
        <v>54</v>
      </c>
      <c r="I45" s="75" t="s">
        <v>55</v>
      </c>
      <c r="J45" s="69">
        <v>29.50177001953125</v>
      </c>
      <c r="K45" s="69">
        <v>29.563770294189453</v>
      </c>
      <c r="L45" s="74">
        <v>29.511945724487305</v>
      </c>
    </row>
    <row r="46" spans="1:12" s="23" customFormat="1">
      <c r="A46" s="66" t="s">
        <v>119</v>
      </c>
      <c r="B46" s="67" t="s">
        <v>14</v>
      </c>
      <c r="C46" s="67"/>
      <c r="D46" s="90" t="s">
        <v>33</v>
      </c>
      <c r="E46" s="95">
        <v>27.35655403137207</v>
      </c>
      <c r="F46" s="96">
        <v>27.442693710327148</v>
      </c>
      <c r="G46" s="96">
        <v>27.377956390380859</v>
      </c>
      <c r="H46" s="75" t="s">
        <v>54</v>
      </c>
      <c r="I46" s="75" t="s">
        <v>55</v>
      </c>
      <c r="J46" s="69">
        <v>29.115936279296875</v>
      </c>
      <c r="K46" s="69">
        <v>29.020530700683594</v>
      </c>
      <c r="L46" s="74">
        <v>29.034486770629883</v>
      </c>
    </row>
    <row r="47" spans="1:12" s="23" customFormat="1">
      <c r="A47" s="24" t="s">
        <v>43</v>
      </c>
      <c r="B47" s="21" t="s">
        <v>14</v>
      </c>
      <c r="C47" s="21"/>
      <c r="D47" s="89" t="s">
        <v>33</v>
      </c>
      <c r="E47" s="93"/>
      <c r="F47" s="75"/>
      <c r="G47" s="75"/>
      <c r="H47" s="75" t="s">
        <v>54</v>
      </c>
      <c r="I47" s="75" t="s">
        <v>55</v>
      </c>
      <c r="J47" s="75"/>
      <c r="K47" s="75"/>
      <c r="L47" s="76"/>
    </row>
    <row r="48" spans="1:12" s="23" customFormat="1">
      <c r="A48" s="20" t="s">
        <v>89</v>
      </c>
      <c r="B48" s="21" t="s">
        <v>53</v>
      </c>
      <c r="C48" s="21"/>
      <c r="D48" s="89" t="s">
        <v>33</v>
      </c>
      <c r="E48" s="93" t="s">
        <v>42</v>
      </c>
      <c r="F48" s="75" t="s">
        <v>42</v>
      </c>
      <c r="G48" s="75" t="s">
        <v>42</v>
      </c>
      <c r="H48" s="75" t="s">
        <v>54</v>
      </c>
      <c r="I48" s="75" t="s">
        <v>55</v>
      </c>
      <c r="J48" s="69">
        <v>29.814973831176758</v>
      </c>
      <c r="K48" s="69">
        <v>29.537591934204102</v>
      </c>
      <c r="L48" s="74">
        <v>29.464000701904297</v>
      </c>
    </row>
    <row r="49" spans="1:12" ht="15.75" thickBot="1">
      <c r="A49" s="13" t="s">
        <v>44</v>
      </c>
      <c r="B49" s="15"/>
      <c r="C49" s="15"/>
      <c r="D49" s="38" t="s">
        <v>33</v>
      </c>
      <c r="E49" s="94" t="s">
        <v>42</v>
      </c>
      <c r="F49" s="77" t="s">
        <v>42</v>
      </c>
      <c r="G49" s="77" t="s">
        <v>42</v>
      </c>
      <c r="H49" s="78" t="s">
        <v>54</v>
      </c>
      <c r="I49" s="78" t="s">
        <v>55</v>
      </c>
      <c r="J49" s="79">
        <v>29.699832916259766</v>
      </c>
      <c r="K49" s="79">
        <v>29.82636833190918</v>
      </c>
      <c r="L49" s="80">
        <v>29.798866271972656</v>
      </c>
    </row>
    <row r="52" spans="1:12">
      <c r="A52" t="s">
        <v>120</v>
      </c>
    </row>
  </sheetData>
  <mergeCells count="5">
    <mergeCell ref="A1:I1"/>
    <mergeCell ref="H3:H7"/>
    <mergeCell ref="A14:F14"/>
    <mergeCell ref="A31:L31"/>
    <mergeCell ref="I15:J23"/>
  </mergeCells>
  <pageMargins left="0.7" right="0.7" top="0.75" bottom="0.75" header="0.3" footer="0.3"/>
  <pageSetup orientation="portrait" r:id="rId1"/>
  <headerFooter>
    <oddHeader>&amp;R&amp;"Aptos"&amp;12&amp;K000000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DA6AB-5053-4D2A-990E-F7E62C19CEAB}">
  <dimension ref="A1:J72"/>
  <sheetViews>
    <sheetView topLeftCell="C65" workbookViewId="0">
      <selection activeCell="H95" sqref="H95"/>
    </sheetView>
  </sheetViews>
  <sheetFormatPr defaultRowHeight="15"/>
  <cols>
    <col min="1" max="1" width="22.28515625" bestFit="1" customWidth="1"/>
    <col min="2" max="2" width="18.85546875" customWidth="1"/>
    <col min="3" max="3" width="21.140625" customWidth="1"/>
    <col min="4" max="4" width="18.85546875" customWidth="1"/>
    <col min="5" max="5" width="19" customWidth="1"/>
    <col min="6" max="6" width="12.7109375" customWidth="1"/>
    <col min="7" max="7" width="19.5703125" customWidth="1"/>
    <col min="8" max="8" width="22.7109375" customWidth="1"/>
    <col min="9" max="9" width="20.28515625" customWidth="1"/>
    <col min="10" max="10" width="12.5703125" customWidth="1"/>
  </cols>
  <sheetData>
    <row r="1" spans="1:8" ht="21">
      <c r="A1" s="231" t="s">
        <v>0</v>
      </c>
      <c r="B1" s="231"/>
      <c r="C1" s="231"/>
      <c r="D1" s="231"/>
      <c r="E1" s="231"/>
      <c r="F1" s="231"/>
      <c r="G1" s="231"/>
      <c r="H1" s="231"/>
    </row>
    <row r="2" spans="1:8" ht="30">
      <c r="A2" s="1" t="s">
        <v>1</v>
      </c>
      <c r="B2" s="1" t="s">
        <v>2</v>
      </c>
      <c r="C2" s="1" t="s">
        <v>3</v>
      </c>
      <c r="D2" s="1" t="s">
        <v>4</v>
      </c>
      <c r="E2" s="1" t="s">
        <v>5</v>
      </c>
      <c r="F2" s="1" t="s">
        <v>6</v>
      </c>
      <c r="G2" s="1" t="s">
        <v>7</v>
      </c>
      <c r="H2" s="1" t="s">
        <v>8</v>
      </c>
    </row>
    <row r="3" spans="1:8">
      <c r="A3" s="3" t="s">
        <v>10</v>
      </c>
      <c r="B3" s="3" t="s">
        <v>121</v>
      </c>
      <c r="C3" s="3" t="s">
        <v>12</v>
      </c>
      <c r="D3" s="3" t="s">
        <v>13</v>
      </c>
      <c r="E3" s="3" t="s">
        <v>14</v>
      </c>
      <c r="F3" s="4">
        <v>45737</v>
      </c>
      <c r="G3" s="3" t="s">
        <v>105</v>
      </c>
      <c r="H3" s="232" t="s">
        <v>16</v>
      </c>
    </row>
    <row r="4" spans="1:8">
      <c r="A4" s="3" t="s">
        <v>10</v>
      </c>
      <c r="B4" s="3" t="s">
        <v>122</v>
      </c>
      <c r="C4" s="3" t="s">
        <v>12</v>
      </c>
      <c r="D4" s="3" t="s">
        <v>13</v>
      </c>
      <c r="E4" s="3" t="s">
        <v>14</v>
      </c>
      <c r="F4" s="4">
        <v>45737</v>
      </c>
      <c r="G4" s="3" t="s">
        <v>105</v>
      </c>
      <c r="H4" s="233"/>
    </row>
    <row r="5" spans="1:8">
      <c r="A5" s="3" t="s">
        <v>10</v>
      </c>
      <c r="B5" s="3" t="s">
        <v>123</v>
      </c>
      <c r="C5" s="3" t="s">
        <v>12</v>
      </c>
      <c r="D5" s="3" t="s">
        <v>20</v>
      </c>
      <c r="E5" s="3" t="s">
        <v>14</v>
      </c>
      <c r="F5" s="4">
        <v>45737</v>
      </c>
      <c r="G5" s="3" t="s">
        <v>105</v>
      </c>
      <c r="H5" s="233"/>
    </row>
    <row r="6" spans="1:8">
      <c r="A6" s="3" t="s">
        <v>10</v>
      </c>
      <c r="B6" s="3" t="s">
        <v>21</v>
      </c>
      <c r="C6" s="3"/>
      <c r="D6" s="3" t="s">
        <v>23</v>
      </c>
      <c r="E6" s="3" t="s">
        <v>14</v>
      </c>
      <c r="F6" s="4">
        <v>45737</v>
      </c>
      <c r="G6" s="3" t="s">
        <v>105</v>
      </c>
      <c r="H6" s="234"/>
    </row>
    <row r="8" spans="1:8">
      <c r="A8" s="26" t="s">
        <v>24</v>
      </c>
    </row>
    <row r="9" spans="1:8">
      <c r="A9" s="26" t="s">
        <v>124</v>
      </c>
    </row>
    <row r="13" spans="1:8" ht="15.75" thickBot="1"/>
    <row r="14" spans="1:8" ht="15.75" thickBot="1">
      <c r="A14" s="235" t="s">
        <v>25</v>
      </c>
      <c r="B14" s="236"/>
      <c r="C14" s="236"/>
      <c r="D14" s="236"/>
      <c r="E14" s="236"/>
      <c r="F14" s="237"/>
    </row>
    <row r="15" spans="1:8" ht="30">
      <c r="A15" s="6" t="s">
        <v>2</v>
      </c>
      <c r="B15" s="7" t="s">
        <v>27</v>
      </c>
      <c r="C15" s="7" t="s">
        <v>28</v>
      </c>
      <c r="D15" s="7" t="s">
        <v>29</v>
      </c>
      <c r="E15" s="7" t="s">
        <v>30</v>
      </c>
      <c r="F15" s="8" t="s">
        <v>31</v>
      </c>
    </row>
    <row r="16" spans="1:8">
      <c r="A16" s="9" t="s">
        <v>32</v>
      </c>
      <c r="B16" s="3" t="s">
        <v>33</v>
      </c>
      <c r="C16" s="10">
        <v>22</v>
      </c>
      <c r="D16" s="10">
        <v>22</v>
      </c>
      <c r="E16" s="11" t="s">
        <v>34</v>
      </c>
      <c r="F16" s="12" t="s">
        <v>35</v>
      </c>
    </row>
    <row r="17" spans="1:8">
      <c r="A17" s="9" t="s">
        <v>36</v>
      </c>
      <c r="B17" s="3" t="s">
        <v>33</v>
      </c>
      <c r="C17" s="10">
        <v>35.799999999999997</v>
      </c>
      <c r="D17" s="10">
        <v>35.700000000000003</v>
      </c>
      <c r="E17" s="11" t="s">
        <v>34</v>
      </c>
      <c r="F17" s="12" t="s">
        <v>35</v>
      </c>
    </row>
    <row r="18" spans="1:8">
      <c r="A18" s="3" t="s">
        <v>125</v>
      </c>
      <c r="B18" s="3" t="s">
        <v>33</v>
      </c>
      <c r="C18" s="10">
        <v>27.9</v>
      </c>
      <c r="D18" s="10">
        <v>27.7</v>
      </c>
      <c r="E18" s="10">
        <v>27.7</v>
      </c>
      <c r="F18" s="12" t="s">
        <v>35</v>
      </c>
    </row>
    <row r="19" spans="1:8">
      <c r="A19" s="3" t="s">
        <v>126</v>
      </c>
      <c r="B19" s="3" t="s">
        <v>33</v>
      </c>
      <c r="C19" s="10">
        <v>28</v>
      </c>
      <c r="D19" s="10">
        <v>27.7</v>
      </c>
      <c r="E19" s="10">
        <v>27.9</v>
      </c>
      <c r="F19" s="12" t="s">
        <v>35</v>
      </c>
    </row>
    <row r="20" spans="1:8">
      <c r="A20" s="3" t="s">
        <v>127</v>
      </c>
      <c r="B20" s="3" t="s">
        <v>33</v>
      </c>
      <c r="C20" s="10" t="s">
        <v>42</v>
      </c>
      <c r="D20" s="10" t="s">
        <v>42</v>
      </c>
      <c r="E20" s="11" t="s">
        <v>34</v>
      </c>
      <c r="F20" s="12" t="s">
        <v>35</v>
      </c>
    </row>
    <row r="21" spans="1:8">
      <c r="A21" s="9" t="s">
        <v>43</v>
      </c>
      <c r="B21" s="3" t="s">
        <v>33</v>
      </c>
      <c r="C21" s="10" t="s">
        <v>42</v>
      </c>
      <c r="D21" s="10" t="s">
        <v>42</v>
      </c>
      <c r="E21" s="11" t="s">
        <v>34</v>
      </c>
      <c r="F21" s="12" t="s">
        <v>35</v>
      </c>
    </row>
    <row r="22" spans="1:8" ht="15.75" thickBot="1">
      <c r="A22" s="13" t="s">
        <v>44</v>
      </c>
      <c r="B22" s="14" t="s">
        <v>33</v>
      </c>
      <c r="C22" s="15" t="s">
        <v>42</v>
      </c>
      <c r="D22" s="15" t="s">
        <v>42</v>
      </c>
      <c r="E22" s="16" t="s">
        <v>34</v>
      </c>
      <c r="F22" s="17" t="s">
        <v>35</v>
      </c>
    </row>
    <row r="24" spans="1:8" ht="15.75" thickBot="1"/>
    <row r="25" spans="1:8" ht="15.75" thickBot="1">
      <c r="A25" s="244" t="s">
        <v>45</v>
      </c>
      <c r="B25" s="243"/>
      <c r="C25" s="243"/>
      <c r="D25" s="243"/>
      <c r="E25" s="243"/>
      <c r="F25" s="243"/>
      <c r="G25" s="243"/>
      <c r="H25" s="245"/>
    </row>
    <row r="26" spans="1:8" ht="30.75" thickBot="1">
      <c r="A26" s="211" t="s">
        <v>2</v>
      </c>
      <c r="B26" s="212" t="s">
        <v>70</v>
      </c>
      <c r="C26" s="212" t="s">
        <v>27</v>
      </c>
      <c r="D26" s="212" t="s">
        <v>28</v>
      </c>
      <c r="E26" s="212" t="s">
        <v>28</v>
      </c>
      <c r="F26" s="212" t="s">
        <v>29</v>
      </c>
      <c r="G26" s="213" t="s">
        <v>31</v>
      </c>
      <c r="H26" s="213"/>
    </row>
    <row r="27" spans="1:8">
      <c r="A27" s="208" t="s">
        <v>32</v>
      </c>
      <c r="B27" s="209"/>
      <c r="C27" s="209" t="s">
        <v>33</v>
      </c>
      <c r="D27" s="214">
        <v>21.236656</v>
      </c>
      <c r="E27" s="214">
        <v>21.181353000000001</v>
      </c>
      <c r="F27" s="214">
        <v>21.213156000000001</v>
      </c>
      <c r="G27" s="210" t="s">
        <v>35</v>
      </c>
      <c r="H27" s="210"/>
    </row>
    <row r="28" spans="1:8">
      <c r="A28" s="9" t="s">
        <v>36</v>
      </c>
      <c r="B28" s="10"/>
      <c r="C28" s="10" t="s">
        <v>33</v>
      </c>
      <c r="D28" s="215">
        <v>34.886580000000002</v>
      </c>
      <c r="E28" s="215">
        <v>34.981299999999997</v>
      </c>
      <c r="F28" s="215">
        <v>34.633965000000003</v>
      </c>
      <c r="G28" s="81" t="s">
        <v>35</v>
      </c>
      <c r="H28" s="81"/>
    </row>
    <row r="29" spans="1:8">
      <c r="A29" s="9" t="s">
        <v>128</v>
      </c>
      <c r="B29" s="10" t="s">
        <v>53</v>
      </c>
      <c r="C29" s="10" t="s">
        <v>33</v>
      </c>
      <c r="D29" s="215">
        <v>27.54429</v>
      </c>
      <c r="E29" s="215">
        <v>27.705207999999999</v>
      </c>
      <c r="F29" s="215">
        <v>27.537838000000001</v>
      </c>
      <c r="G29" s="81" t="s">
        <v>35</v>
      </c>
      <c r="H29" s="81"/>
    </row>
    <row r="30" spans="1:8">
      <c r="A30" s="9" t="s">
        <v>125</v>
      </c>
      <c r="B30" s="10" t="s">
        <v>14</v>
      </c>
      <c r="C30" s="10" t="s">
        <v>33</v>
      </c>
      <c r="D30" s="215">
        <v>27.596005999999999</v>
      </c>
      <c r="E30" s="215">
        <v>27.539090000000002</v>
      </c>
      <c r="F30" s="215">
        <v>27.462562999999999</v>
      </c>
      <c r="G30" s="81" t="s">
        <v>35</v>
      </c>
      <c r="H30" s="81"/>
    </row>
    <row r="31" spans="1:8">
      <c r="A31" s="9" t="s">
        <v>129</v>
      </c>
      <c r="B31" s="10" t="s">
        <v>53</v>
      </c>
      <c r="C31" s="10" t="s">
        <v>33</v>
      </c>
      <c r="D31" s="215">
        <v>26.995906999999999</v>
      </c>
      <c r="E31" s="215">
        <v>26.976599</v>
      </c>
      <c r="F31" s="215">
        <v>26.994219999999999</v>
      </c>
      <c r="G31" s="81" t="s">
        <v>35</v>
      </c>
      <c r="H31" s="81"/>
    </row>
    <row r="32" spans="1:8">
      <c r="A32" s="9" t="s">
        <v>126</v>
      </c>
      <c r="B32" s="19" t="s">
        <v>14</v>
      </c>
      <c r="C32" s="10" t="s">
        <v>33</v>
      </c>
      <c r="D32" s="215">
        <v>27.31972</v>
      </c>
      <c r="E32" s="215">
        <v>27.230782999999999</v>
      </c>
      <c r="F32" s="215">
        <v>27.169304</v>
      </c>
      <c r="G32" s="81" t="s">
        <v>35</v>
      </c>
      <c r="H32" s="81"/>
    </row>
    <row r="33" spans="1:10" s="23" customFormat="1">
      <c r="A33" s="9" t="s">
        <v>130</v>
      </c>
      <c r="B33" s="21" t="s">
        <v>53</v>
      </c>
      <c r="C33" s="22" t="s">
        <v>33</v>
      </c>
      <c r="D33" s="216" t="s">
        <v>42</v>
      </c>
      <c r="E33" s="216" t="s">
        <v>42</v>
      </c>
      <c r="F33" s="216" t="s">
        <v>42</v>
      </c>
      <c r="G33" s="76" t="s">
        <v>35</v>
      </c>
      <c r="H33" s="76"/>
    </row>
    <row r="34" spans="1:10" s="23" customFormat="1">
      <c r="A34" s="9" t="s">
        <v>127</v>
      </c>
      <c r="B34" s="21" t="s">
        <v>14</v>
      </c>
      <c r="C34" s="22" t="s">
        <v>33</v>
      </c>
      <c r="D34" s="216" t="s">
        <v>42</v>
      </c>
      <c r="E34" s="216" t="s">
        <v>42</v>
      </c>
      <c r="F34" s="216" t="s">
        <v>42</v>
      </c>
      <c r="G34" s="76" t="s">
        <v>35</v>
      </c>
      <c r="H34" s="76"/>
    </row>
    <row r="35" spans="1:10" s="23" customFormat="1">
      <c r="A35" s="24" t="s">
        <v>43</v>
      </c>
      <c r="B35" s="21" t="s">
        <v>14</v>
      </c>
      <c r="C35" s="22" t="s">
        <v>33</v>
      </c>
      <c r="D35" s="216" t="s">
        <v>42</v>
      </c>
      <c r="E35" s="216" t="s">
        <v>42</v>
      </c>
      <c r="F35" s="216" t="s">
        <v>42</v>
      </c>
      <c r="G35" s="76" t="s">
        <v>35</v>
      </c>
      <c r="H35" s="76"/>
    </row>
    <row r="36" spans="1:10" s="23" customFormat="1">
      <c r="A36" s="20" t="s">
        <v>131</v>
      </c>
      <c r="B36" s="21" t="s">
        <v>53</v>
      </c>
      <c r="C36" s="22" t="s">
        <v>33</v>
      </c>
      <c r="D36" s="216" t="s">
        <v>42</v>
      </c>
      <c r="E36" s="216" t="s">
        <v>42</v>
      </c>
      <c r="F36" s="216" t="s">
        <v>42</v>
      </c>
      <c r="G36" s="76" t="s">
        <v>35</v>
      </c>
      <c r="H36" s="76"/>
    </row>
    <row r="37" spans="1:10" ht="15.75" thickBot="1">
      <c r="A37" s="13" t="s">
        <v>44</v>
      </c>
      <c r="B37" s="15"/>
      <c r="C37" s="15" t="s">
        <v>33</v>
      </c>
      <c r="D37" s="217" t="s">
        <v>42</v>
      </c>
      <c r="E37" s="217" t="s">
        <v>42</v>
      </c>
      <c r="F37" s="217" t="s">
        <v>42</v>
      </c>
      <c r="G37" s="207" t="s">
        <v>35</v>
      </c>
      <c r="H37" s="207"/>
    </row>
    <row r="41" spans="1:10" ht="15.75" thickBot="1"/>
    <row r="42" spans="1:10" ht="15.75" thickBot="1">
      <c r="B42" s="137"/>
      <c r="C42" s="235" t="s">
        <v>132</v>
      </c>
      <c r="D42" s="236"/>
      <c r="E42" s="236"/>
      <c r="F42" s="237"/>
      <c r="G42" s="235" t="s">
        <v>133</v>
      </c>
      <c r="H42" s="236"/>
      <c r="I42" s="236"/>
      <c r="J42" s="237"/>
    </row>
    <row r="43" spans="1:10" ht="30.75" thickBot="1">
      <c r="A43" s="204" t="s">
        <v>2</v>
      </c>
      <c r="B43" s="204" t="s">
        <v>134</v>
      </c>
      <c r="C43" s="220" t="s">
        <v>28</v>
      </c>
      <c r="D43" s="219" t="s">
        <v>29</v>
      </c>
      <c r="E43" s="219" t="s">
        <v>30</v>
      </c>
      <c r="F43" s="221" t="s">
        <v>135</v>
      </c>
      <c r="G43" s="220" t="s">
        <v>28</v>
      </c>
      <c r="H43" s="219" t="s">
        <v>29</v>
      </c>
      <c r="I43" s="219" t="s">
        <v>30</v>
      </c>
      <c r="J43" s="221" t="s">
        <v>135</v>
      </c>
    </row>
    <row r="44" spans="1:10">
      <c r="A44" s="119" t="s">
        <v>32</v>
      </c>
      <c r="B44" s="120" t="s">
        <v>136</v>
      </c>
      <c r="C44" s="117">
        <v>22</v>
      </c>
      <c r="D44" s="116">
        <v>22</v>
      </c>
      <c r="E44" s="199" t="s">
        <v>34</v>
      </c>
      <c r="F44" s="222">
        <f>AVERAGE(C44:E44)</f>
        <v>22</v>
      </c>
      <c r="G44" s="114">
        <v>21.236656</v>
      </c>
      <c r="H44" s="113">
        <v>21.181353000000001</v>
      </c>
      <c r="I44" s="113">
        <v>21.213156000000001</v>
      </c>
      <c r="J44" s="222">
        <f>AVERAGE(G44:I44)</f>
        <v>21.210388333333331</v>
      </c>
    </row>
    <row r="45" spans="1:10">
      <c r="A45" s="117" t="s">
        <v>36</v>
      </c>
      <c r="B45" s="118" t="s">
        <v>136</v>
      </c>
      <c r="C45" s="117">
        <v>35.799999999999997</v>
      </c>
      <c r="D45" s="116">
        <v>35.700000000000003</v>
      </c>
      <c r="E45" s="199" t="s">
        <v>34</v>
      </c>
      <c r="F45" s="222">
        <f t="shared" ref="F45:F47" si="0">AVERAGE(C45:E45)</f>
        <v>35.75</v>
      </c>
      <c r="G45" s="114">
        <v>34.886580000000002</v>
      </c>
      <c r="H45" s="113">
        <v>34.981299999999997</v>
      </c>
      <c r="I45" s="113">
        <v>34.633965000000003</v>
      </c>
      <c r="J45" s="222">
        <f t="shared" ref="J45:J47" si="1">AVERAGE(G45:I45)</f>
        <v>34.833948333333332</v>
      </c>
    </row>
    <row r="46" spans="1:10">
      <c r="A46" s="117" t="s">
        <v>121</v>
      </c>
      <c r="B46" s="118" t="s">
        <v>137</v>
      </c>
      <c r="C46" s="117">
        <v>27.9</v>
      </c>
      <c r="D46" s="116">
        <v>27.7</v>
      </c>
      <c r="E46" s="116">
        <v>27.7</v>
      </c>
      <c r="F46" s="222">
        <f t="shared" si="0"/>
        <v>27.766666666666666</v>
      </c>
      <c r="G46" s="114">
        <v>27.54429</v>
      </c>
      <c r="H46" s="113">
        <v>27.705207999999999</v>
      </c>
      <c r="I46" s="113">
        <v>27.537838000000001</v>
      </c>
      <c r="J46" s="222">
        <f t="shared" si="1"/>
        <v>27.595778666666671</v>
      </c>
    </row>
    <row r="47" spans="1:10">
      <c r="A47" s="117" t="s">
        <v>122</v>
      </c>
      <c r="B47" s="118" t="s">
        <v>137</v>
      </c>
      <c r="C47" s="117">
        <v>28</v>
      </c>
      <c r="D47" s="116">
        <v>27.7</v>
      </c>
      <c r="E47" s="116">
        <v>27.9</v>
      </c>
      <c r="F47" s="222">
        <f t="shared" si="0"/>
        <v>27.866666666666664</v>
      </c>
      <c r="G47" s="114">
        <v>26.995906999999999</v>
      </c>
      <c r="H47" s="113">
        <v>26.976599</v>
      </c>
      <c r="I47" s="113">
        <v>26.994219999999999</v>
      </c>
      <c r="J47" s="222">
        <f t="shared" si="1"/>
        <v>26.988908666666664</v>
      </c>
    </row>
    <row r="48" spans="1:10">
      <c r="A48" s="117" t="s">
        <v>123</v>
      </c>
      <c r="B48" s="118" t="s">
        <v>20</v>
      </c>
      <c r="C48" s="117" t="s">
        <v>42</v>
      </c>
      <c r="D48" s="116" t="s">
        <v>42</v>
      </c>
      <c r="E48" s="199" t="s">
        <v>34</v>
      </c>
      <c r="F48" s="223" t="s">
        <v>42</v>
      </c>
      <c r="G48" s="114" t="s">
        <v>42</v>
      </c>
      <c r="H48" s="113" t="s">
        <v>42</v>
      </c>
      <c r="I48" s="113" t="s">
        <v>42</v>
      </c>
      <c r="J48" s="226" t="s">
        <v>42</v>
      </c>
    </row>
    <row r="49" spans="1:10">
      <c r="A49" s="218" t="s">
        <v>43</v>
      </c>
      <c r="B49" s="118" t="s">
        <v>21</v>
      </c>
      <c r="C49" s="117" t="s">
        <v>42</v>
      </c>
      <c r="D49" s="116" t="s">
        <v>42</v>
      </c>
      <c r="E49" s="199" t="s">
        <v>34</v>
      </c>
      <c r="F49" s="223" t="s">
        <v>42</v>
      </c>
      <c r="G49" s="227" t="s">
        <v>34</v>
      </c>
      <c r="H49" s="199" t="s">
        <v>34</v>
      </c>
      <c r="I49" s="199" t="s">
        <v>34</v>
      </c>
      <c r="J49" s="228" t="s">
        <v>138</v>
      </c>
    </row>
    <row r="50" spans="1:10" ht="15.75" thickBot="1">
      <c r="A50" s="230" t="s">
        <v>139</v>
      </c>
      <c r="B50" s="111" t="s">
        <v>21</v>
      </c>
      <c r="C50" s="224" t="s">
        <v>34</v>
      </c>
      <c r="D50" s="202" t="s">
        <v>34</v>
      </c>
      <c r="E50" s="202" t="s">
        <v>34</v>
      </c>
      <c r="F50" s="225" t="s">
        <v>138</v>
      </c>
      <c r="G50" s="108" t="s">
        <v>42</v>
      </c>
      <c r="H50" s="107" t="s">
        <v>42</v>
      </c>
      <c r="I50" s="54"/>
      <c r="J50" s="229" t="s">
        <v>42</v>
      </c>
    </row>
    <row r="63" spans="1:10" ht="15.75" thickBot="1"/>
    <row r="64" spans="1:10" ht="15.75" thickBot="1">
      <c r="B64" s="235" t="s">
        <v>132</v>
      </c>
      <c r="C64" s="236"/>
      <c r="D64" s="236"/>
      <c r="E64" s="237"/>
      <c r="F64" s="235" t="s">
        <v>133</v>
      </c>
      <c r="G64" s="236"/>
      <c r="H64" s="236"/>
      <c r="I64" s="237"/>
    </row>
    <row r="65" spans="1:9" ht="30.75" thickBot="1">
      <c r="A65" s="204" t="s">
        <v>2</v>
      </c>
      <c r="B65" s="220" t="s">
        <v>28</v>
      </c>
      <c r="C65" s="219" t="s">
        <v>29</v>
      </c>
      <c r="D65" s="219" t="s">
        <v>30</v>
      </c>
      <c r="E65" s="221" t="s">
        <v>135</v>
      </c>
      <c r="F65" s="220" t="s">
        <v>28</v>
      </c>
      <c r="G65" s="219" t="s">
        <v>29</v>
      </c>
      <c r="H65" s="219" t="s">
        <v>30</v>
      </c>
      <c r="I65" s="221" t="s">
        <v>135</v>
      </c>
    </row>
    <row r="66" spans="1:9">
      <c r="A66" s="119" t="s">
        <v>32</v>
      </c>
      <c r="B66" s="117">
        <v>22</v>
      </c>
      <c r="C66" s="116">
        <v>22</v>
      </c>
      <c r="D66" s="199" t="s">
        <v>34</v>
      </c>
      <c r="E66" s="222">
        <f>AVERAGE(B66:D66)</f>
        <v>22</v>
      </c>
      <c r="F66" s="114">
        <v>21.236656</v>
      </c>
      <c r="G66" s="113">
        <v>21.181353000000001</v>
      </c>
      <c r="H66" s="113">
        <v>21.213156000000001</v>
      </c>
      <c r="I66" s="222">
        <f>AVERAGE(F66:H66)</f>
        <v>21.210388333333331</v>
      </c>
    </row>
    <row r="67" spans="1:9">
      <c r="A67" s="117" t="s">
        <v>36</v>
      </c>
      <c r="B67" s="117">
        <v>35.799999999999997</v>
      </c>
      <c r="C67" s="116">
        <v>35.700000000000003</v>
      </c>
      <c r="D67" s="199" t="s">
        <v>34</v>
      </c>
      <c r="E67" s="222">
        <f t="shared" ref="E67:E69" si="2">AVERAGE(B67:D67)</f>
        <v>35.75</v>
      </c>
      <c r="F67" s="114">
        <v>34.886580000000002</v>
      </c>
      <c r="G67" s="113">
        <v>34.981299999999997</v>
      </c>
      <c r="H67" s="113">
        <v>34.633965000000003</v>
      </c>
      <c r="I67" s="222">
        <f t="shared" ref="I67:I69" si="3">AVERAGE(F67:H67)</f>
        <v>34.833948333333332</v>
      </c>
    </row>
    <row r="68" spans="1:9">
      <c r="A68" s="117" t="s">
        <v>121</v>
      </c>
      <c r="B68" s="117">
        <v>27.9</v>
      </c>
      <c r="C68" s="116">
        <v>27.7</v>
      </c>
      <c r="D68" s="116">
        <v>27.7</v>
      </c>
      <c r="E68" s="222">
        <f t="shared" si="2"/>
        <v>27.766666666666666</v>
      </c>
      <c r="F68" s="114">
        <v>27.54429</v>
      </c>
      <c r="G68" s="113">
        <v>27.705207999999999</v>
      </c>
      <c r="H68" s="113">
        <v>27.537838000000001</v>
      </c>
      <c r="I68" s="222">
        <f t="shared" si="3"/>
        <v>27.595778666666671</v>
      </c>
    </row>
    <row r="69" spans="1:9">
      <c r="A69" s="117" t="s">
        <v>122</v>
      </c>
      <c r="B69" s="117">
        <v>28</v>
      </c>
      <c r="C69" s="116">
        <v>27.7</v>
      </c>
      <c r="D69" s="116">
        <v>27.9</v>
      </c>
      <c r="E69" s="222">
        <f t="shared" si="2"/>
        <v>27.866666666666664</v>
      </c>
      <c r="F69" s="114">
        <v>26.995906999999999</v>
      </c>
      <c r="G69" s="113">
        <v>26.976599</v>
      </c>
      <c r="H69" s="113">
        <v>26.994219999999999</v>
      </c>
      <c r="I69" s="222">
        <f t="shared" si="3"/>
        <v>26.988908666666664</v>
      </c>
    </row>
    <row r="70" spans="1:9">
      <c r="A70" s="117" t="s">
        <v>123</v>
      </c>
      <c r="B70" s="117" t="s">
        <v>42</v>
      </c>
      <c r="C70" s="116" t="s">
        <v>42</v>
      </c>
      <c r="D70" s="199" t="s">
        <v>34</v>
      </c>
      <c r="E70" s="223" t="s">
        <v>42</v>
      </c>
      <c r="F70" s="114" t="s">
        <v>42</v>
      </c>
      <c r="G70" s="113" t="s">
        <v>42</v>
      </c>
      <c r="H70" s="113" t="s">
        <v>42</v>
      </c>
      <c r="I70" s="226" t="s">
        <v>42</v>
      </c>
    </row>
    <row r="71" spans="1:9">
      <c r="A71" s="218" t="s">
        <v>43</v>
      </c>
      <c r="B71" s="117" t="s">
        <v>42</v>
      </c>
      <c r="C71" s="116" t="s">
        <v>42</v>
      </c>
      <c r="D71" s="199" t="s">
        <v>34</v>
      </c>
      <c r="E71" s="223" t="s">
        <v>42</v>
      </c>
      <c r="F71" s="227" t="s">
        <v>34</v>
      </c>
      <c r="G71" s="199" t="s">
        <v>34</v>
      </c>
      <c r="H71" s="199" t="s">
        <v>34</v>
      </c>
      <c r="I71" s="228" t="s">
        <v>138</v>
      </c>
    </row>
    <row r="72" spans="1:9" ht="15.75" thickBot="1">
      <c r="A72" s="230" t="s">
        <v>139</v>
      </c>
      <c r="B72" s="224" t="s">
        <v>34</v>
      </c>
      <c r="C72" s="202" t="s">
        <v>34</v>
      </c>
      <c r="D72" s="202" t="s">
        <v>34</v>
      </c>
      <c r="E72" s="225" t="s">
        <v>138</v>
      </c>
      <c r="F72" s="108" t="s">
        <v>42</v>
      </c>
      <c r="G72" s="107" t="s">
        <v>42</v>
      </c>
      <c r="H72" s="54"/>
      <c r="I72" s="229" t="s">
        <v>42</v>
      </c>
    </row>
  </sheetData>
  <mergeCells count="8">
    <mergeCell ref="B64:E64"/>
    <mergeCell ref="F64:I64"/>
    <mergeCell ref="A1:H1"/>
    <mergeCell ref="H3:H6"/>
    <mergeCell ref="A14:F14"/>
    <mergeCell ref="A25:H25"/>
    <mergeCell ref="C42:F42"/>
    <mergeCell ref="G42:J42"/>
  </mergeCells>
  <pageMargins left="0.7" right="0.7" top="0.75" bottom="0.75" header="0.3" footer="0.3"/>
  <headerFooter>
    <oddHeader>&amp;R&amp;"Aptos"&amp;12&amp;K000000 Unclassified - Non-Classifié&amp;1#_x000D_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9472-FCB6-4662-BC35-CB1CAF86A44D}">
  <dimension ref="A1:L47"/>
  <sheetViews>
    <sheetView topLeftCell="A16" workbookViewId="0">
      <selection activeCell="A31" sqref="A31:XFD47"/>
    </sheetView>
  </sheetViews>
  <sheetFormatPr defaultColWidth="22" defaultRowHeight="15"/>
  <cols>
    <col min="3" max="3" width="16.85546875" bestFit="1" customWidth="1"/>
    <col min="9" max="9" width="75.85546875" customWidth="1"/>
  </cols>
  <sheetData>
    <row r="1" spans="1:9" ht="21">
      <c r="A1" s="231" t="s">
        <v>0</v>
      </c>
      <c r="B1" s="231"/>
      <c r="C1" s="231"/>
      <c r="D1" s="231"/>
      <c r="E1" s="231"/>
      <c r="F1" s="231"/>
      <c r="G1" s="231"/>
      <c r="H1" s="231"/>
      <c r="I1" s="231"/>
    </row>
    <row r="2" spans="1:9" ht="60">
      <c r="A2" s="1" t="s">
        <v>1</v>
      </c>
      <c r="B2" s="1" t="s">
        <v>2</v>
      </c>
      <c r="C2" s="1" t="s">
        <v>3</v>
      </c>
      <c r="D2" s="1" t="s">
        <v>4</v>
      </c>
      <c r="E2" s="1" t="s">
        <v>5</v>
      </c>
      <c r="F2" s="1" t="s">
        <v>6</v>
      </c>
      <c r="G2" s="1" t="s">
        <v>7</v>
      </c>
      <c r="H2" s="1" t="s">
        <v>8</v>
      </c>
      <c r="I2" s="1" t="s">
        <v>9</v>
      </c>
    </row>
    <row r="3" spans="1:9">
      <c r="A3" s="3" t="s">
        <v>10</v>
      </c>
      <c r="B3" s="3" t="s">
        <v>140</v>
      </c>
      <c r="C3" s="3" t="s">
        <v>12</v>
      </c>
      <c r="D3" s="3" t="s">
        <v>13</v>
      </c>
      <c r="E3" s="3" t="s">
        <v>14</v>
      </c>
      <c r="F3" s="4">
        <v>45707</v>
      </c>
      <c r="G3" s="3" t="s">
        <v>141</v>
      </c>
      <c r="H3" s="232" t="s">
        <v>16</v>
      </c>
      <c r="I3" s="5"/>
    </row>
    <row r="4" spans="1:9">
      <c r="A4" s="3" t="s">
        <v>10</v>
      </c>
      <c r="B4" s="3" t="s">
        <v>142</v>
      </c>
      <c r="C4" s="3" t="s">
        <v>12</v>
      </c>
      <c r="D4" s="3" t="s">
        <v>13</v>
      </c>
      <c r="E4" s="3" t="s">
        <v>14</v>
      </c>
      <c r="F4" s="4">
        <v>45707</v>
      </c>
      <c r="G4" s="3" t="s">
        <v>141</v>
      </c>
      <c r="H4" s="233"/>
      <c r="I4" s="5"/>
    </row>
    <row r="5" spans="1:9">
      <c r="A5" s="3" t="s">
        <v>10</v>
      </c>
      <c r="B5" s="3" t="s">
        <v>143</v>
      </c>
      <c r="C5" s="3" t="s">
        <v>12</v>
      </c>
      <c r="D5" s="3" t="s">
        <v>13</v>
      </c>
      <c r="E5" s="3" t="s">
        <v>14</v>
      </c>
      <c r="F5" s="4">
        <v>45707</v>
      </c>
      <c r="G5" s="3" t="s">
        <v>141</v>
      </c>
      <c r="H5" s="233"/>
      <c r="I5" s="5"/>
    </row>
    <row r="6" spans="1:9">
      <c r="A6" s="3" t="s">
        <v>10</v>
      </c>
      <c r="B6" s="3" t="s">
        <v>144</v>
      </c>
      <c r="C6" s="3" t="s">
        <v>12</v>
      </c>
      <c r="D6" s="3" t="s">
        <v>20</v>
      </c>
      <c r="E6" s="3" t="s">
        <v>14</v>
      </c>
      <c r="F6" s="4">
        <v>45707</v>
      </c>
      <c r="G6" s="3" t="s">
        <v>141</v>
      </c>
      <c r="H6" s="233"/>
      <c r="I6" s="5"/>
    </row>
    <row r="7" spans="1:9">
      <c r="A7" s="3" t="s">
        <v>10</v>
      </c>
      <c r="B7" s="3" t="s">
        <v>21</v>
      </c>
      <c r="C7" s="3"/>
      <c r="D7" s="3" t="s">
        <v>23</v>
      </c>
      <c r="E7" s="3" t="s">
        <v>14</v>
      </c>
      <c r="F7" s="4">
        <v>45707</v>
      </c>
      <c r="G7" s="3" t="s">
        <v>141</v>
      </c>
      <c r="H7" s="234"/>
      <c r="I7" s="5"/>
    </row>
    <row r="13" spans="1:9" ht="15.75" thickBot="1"/>
    <row r="14" spans="1:9" ht="15.75" thickBot="1">
      <c r="A14" s="235" t="s">
        <v>25</v>
      </c>
      <c r="B14" s="236"/>
      <c r="C14" s="236"/>
      <c r="D14" s="236"/>
      <c r="E14" s="236"/>
      <c r="F14" s="237"/>
    </row>
    <row r="15" spans="1:9" ht="30">
      <c r="A15" s="6" t="s">
        <v>2</v>
      </c>
      <c r="B15" s="7" t="s">
        <v>27</v>
      </c>
      <c r="C15" s="7" t="s">
        <v>28</v>
      </c>
      <c r="D15" s="7" t="s">
        <v>29</v>
      </c>
      <c r="E15" s="7" t="s">
        <v>30</v>
      </c>
      <c r="F15" s="8" t="s">
        <v>31</v>
      </c>
    </row>
    <row r="16" spans="1:9">
      <c r="A16" s="9" t="s">
        <v>32</v>
      </c>
      <c r="B16" s="3" t="s">
        <v>33</v>
      </c>
      <c r="C16" s="10">
        <v>22</v>
      </c>
      <c r="D16" s="10">
        <v>22</v>
      </c>
      <c r="E16" s="11" t="s">
        <v>145</v>
      </c>
      <c r="F16" s="12" t="s">
        <v>35</v>
      </c>
    </row>
    <row r="17" spans="1:12">
      <c r="A17" s="9" t="s">
        <v>36</v>
      </c>
      <c r="B17" s="3" t="s">
        <v>33</v>
      </c>
      <c r="C17" s="10">
        <v>35.799999999999997</v>
      </c>
      <c r="D17" s="10">
        <v>35.9</v>
      </c>
      <c r="E17" s="11" t="s">
        <v>145</v>
      </c>
      <c r="F17" s="12" t="s">
        <v>35</v>
      </c>
    </row>
    <row r="18" spans="1:12">
      <c r="A18" s="55" t="s">
        <v>146</v>
      </c>
      <c r="B18" s="3" t="s">
        <v>33</v>
      </c>
      <c r="C18" s="10">
        <v>27.4</v>
      </c>
      <c r="D18" s="10">
        <v>27.7</v>
      </c>
      <c r="E18" s="10">
        <v>27.5</v>
      </c>
      <c r="F18" s="12" t="s">
        <v>35</v>
      </c>
    </row>
    <row r="19" spans="1:12">
      <c r="A19" s="55" t="s">
        <v>147</v>
      </c>
      <c r="B19" s="3" t="s">
        <v>33</v>
      </c>
      <c r="C19" s="10">
        <v>27.9</v>
      </c>
      <c r="D19" s="10">
        <v>27.7</v>
      </c>
      <c r="E19" s="10">
        <v>27.8</v>
      </c>
      <c r="F19" s="12" t="s">
        <v>35</v>
      </c>
    </row>
    <row r="20" spans="1:12">
      <c r="A20" s="55" t="s">
        <v>148</v>
      </c>
      <c r="B20" s="3" t="s">
        <v>33</v>
      </c>
      <c r="C20" s="10" t="s">
        <v>42</v>
      </c>
      <c r="D20" s="10" t="s">
        <v>42</v>
      </c>
      <c r="E20" s="11" t="s">
        <v>145</v>
      </c>
      <c r="F20" s="12" t="s">
        <v>35</v>
      </c>
    </row>
    <row r="21" spans="1:12">
      <c r="A21" s="9" t="s">
        <v>43</v>
      </c>
      <c r="B21" s="3" t="s">
        <v>33</v>
      </c>
      <c r="C21" s="10" t="s">
        <v>42</v>
      </c>
      <c r="D21" s="10" t="s">
        <v>42</v>
      </c>
      <c r="E21" s="11" t="s">
        <v>145</v>
      </c>
      <c r="F21" s="12" t="s">
        <v>35</v>
      </c>
    </row>
    <row r="22" spans="1:12" ht="15.75" thickBot="1">
      <c r="A22" s="13" t="s">
        <v>44</v>
      </c>
      <c r="B22" s="14" t="s">
        <v>33</v>
      </c>
      <c r="C22" s="15" t="s">
        <v>42</v>
      </c>
      <c r="D22" s="15" t="s">
        <v>42</v>
      </c>
      <c r="E22" s="16" t="s">
        <v>145</v>
      </c>
      <c r="F22" s="17" t="s">
        <v>35</v>
      </c>
    </row>
    <row r="30" spans="1:12" ht="15.75" thickBot="1"/>
    <row r="31" spans="1:12" ht="15.75" thickBot="1">
      <c r="A31" s="235" t="s">
        <v>45</v>
      </c>
      <c r="B31" s="236"/>
      <c r="C31" s="236"/>
      <c r="D31" s="236"/>
      <c r="E31" s="236"/>
      <c r="F31" s="236"/>
      <c r="G31" s="236"/>
      <c r="H31" s="236"/>
      <c r="I31" s="236"/>
      <c r="J31" s="236"/>
      <c r="K31" s="236"/>
      <c r="L31" s="237"/>
    </row>
    <row r="32" spans="1:12" ht="45.75" thickBot="1">
      <c r="A32" s="58" t="s">
        <v>2</v>
      </c>
      <c r="B32" s="59" t="s">
        <v>70</v>
      </c>
      <c r="C32" s="59" t="s">
        <v>47</v>
      </c>
      <c r="D32" s="59" t="s">
        <v>27</v>
      </c>
      <c r="E32" s="59" t="s">
        <v>28</v>
      </c>
      <c r="F32" s="59" t="s">
        <v>29</v>
      </c>
      <c r="G32" s="59" t="s">
        <v>30</v>
      </c>
      <c r="H32" s="59" t="s">
        <v>31</v>
      </c>
      <c r="I32" s="59" t="s">
        <v>27</v>
      </c>
      <c r="J32" s="59" t="s">
        <v>28</v>
      </c>
      <c r="K32" s="59" t="s">
        <v>29</v>
      </c>
      <c r="L32" s="60" t="s">
        <v>30</v>
      </c>
    </row>
    <row r="33" spans="1:12">
      <c r="A33" s="61" t="s">
        <v>32</v>
      </c>
      <c r="B33" s="62"/>
      <c r="C33" s="62"/>
      <c r="D33" s="62" t="s">
        <v>33</v>
      </c>
      <c r="E33" s="71">
        <v>20.462787628173828</v>
      </c>
      <c r="F33" s="71">
        <v>20.478761672973633</v>
      </c>
      <c r="G33" s="71">
        <v>20.399045944213867</v>
      </c>
      <c r="H33" s="70"/>
      <c r="I33" s="70"/>
      <c r="J33" s="70"/>
      <c r="K33" s="70"/>
      <c r="L33" s="87"/>
    </row>
    <row r="34" spans="1:12">
      <c r="A34" s="9" t="s">
        <v>48</v>
      </c>
      <c r="B34" s="10"/>
      <c r="C34" s="10"/>
      <c r="D34" s="10" t="s">
        <v>33</v>
      </c>
      <c r="E34" s="69">
        <v>24.069675445556641</v>
      </c>
      <c r="F34" s="69">
        <v>24.055591583251953</v>
      </c>
      <c r="G34" s="69">
        <v>23.990074157714844</v>
      </c>
      <c r="H34" s="73"/>
      <c r="I34" s="73"/>
      <c r="J34" s="73"/>
      <c r="K34" s="73"/>
      <c r="L34" s="81"/>
    </row>
    <row r="35" spans="1:12">
      <c r="A35" s="9" t="s">
        <v>49</v>
      </c>
      <c r="B35" s="10"/>
      <c r="C35" s="10"/>
      <c r="D35" s="10" t="s">
        <v>33</v>
      </c>
      <c r="E35" s="69">
        <v>27.449230194091797</v>
      </c>
      <c r="F35" s="69">
        <v>27.377090454101563</v>
      </c>
      <c r="G35" s="69">
        <v>27.35333251953125</v>
      </c>
      <c r="H35" s="73"/>
      <c r="I35" s="73"/>
      <c r="J35" s="73"/>
      <c r="K35" s="73"/>
      <c r="L35" s="81"/>
    </row>
    <row r="36" spans="1:12">
      <c r="A36" s="9" t="s">
        <v>50</v>
      </c>
      <c r="B36" s="10"/>
      <c r="C36" s="10"/>
      <c r="D36" s="10" t="s">
        <v>33</v>
      </c>
      <c r="E36" s="69">
        <v>30.629251480102539</v>
      </c>
      <c r="F36" s="69">
        <v>30.56471061706543</v>
      </c>
      <c r="G36" s="69">
        <v>30.634933471679688</v>
      </c>
      <c r="H36" s="73"/>
      <c r="I36" s="73"/>
      <c r="J36" s="73"/>
      <c r="K36" s="73"/>
      <c r="L36" s="81"/>
    </row>
    <row r="37" spans="1:12">
      <c r="A37" s="9" t="s">
        <v>36</v>
      </c>
      <c r="B37" s="10"/>
      <c r="C37" s="10"/>
      <c r="D37" s="10" t="s">
        <v>33</v>
      </c>
      <c r="E37" s="69">
        <v>34.271244049072266</v>
      </c>
      <c r="F37" s="69">
        <v>33.610923767089844</v>
      </c>
      <c r="G37" s="69">
        <v>33.856788635253906</v>
      </c>
      <c r="H37" s="73"/>
      <c r="I37" s="73"/>
      <c r="J37" s="73"/>
      <c r="K37" s="73"/>
      <c r="L37" s="81"/>
    </row>
    <row r="38" spans="1:12">
      <c r="A38" s="9" t="s">
        <v>51</v>
      </c>
      <c r="B38" s="10"/>
      <c r="C38" s="10"/>
      <c r="D38" s="10" t="s">
        <v>33</v>
      </c>
      <c r="E38" s="69">
        <v>36.108188629150391</v>
      </c>
      <c r="F38" s="69">
        <v>38.974224090576172</v>
      </c>
      <c r="G38" s="69">
        <v>36.846538543701172</v>
      </c>
      <c r="H38" s="73"/>
      <c r="I38" s="73"/>
      <c r="J38" s="73"/>
      <c r="K38" s="73"/>
      <c r="L38" s="81"/>
    </row>
    <row r="39" spans="1:12">
      <c r="A39" s="9" t="s">
        <v>149</v>
      </c>
      <c r="B39" s="10" t="s">
        <v>53</v>
      </c>
      <c r="C39" s="10"/>
      <c r="D39" s="10" t="s">
        <v>33</v>
      </c>
      <c r="E39" s="69">
        <v>26.728340148925781</v>
      </c>
      <c r="F39" s="69">
        <v>26.566797256469727</v>
      </c>
      <c r="G39" s="69">
        <v>26.622550964355469</v>
      </c>
      <c r="H39" s="73" t="s">
        <v>54</v>
      </c>
      <c r="I39" s="73" t="s">
        <v>55</v>
      </c>
      <c r="J39" s="69">
        <v>28.822761535644531</v>
      </c>
      <c r="K39" s="69">
        <v>28.809877395629883</v>
      </c>
      <c r="L39" s="74">
        <v>28.943721771240234</v>
      </c>
    </row>
    <row r="40" spans="1:12">
      <c r="A40" s="9" t="s">
        <v>146</v>
      </c>
      <c r="B40" s="10" t="s">
        <v>14</v>
      </c>
      <c r="C40" s="10"/>
      <c r="D40" s="10" t="s">
        <v>33</v>
      </c>
      <c r="E40" s="69">
        <v>26.593740463256836</v>
      </c>
      <c r="F40" s="69">
        <v>26.501979827880859</v>
      </c>
      <c r="G40" s="69">
        <v>26.601316452026367</v>
      </c>
      <c r="H40" s="73" t="s">
        <v>54</v>
      </c>
      <c r="I40" s="73" t="s">
        <v>55</v>
      </c>
      <c r="J40" s="69">
        <v>28.912927627563477</v>
      </c>
      <c r="K40" s="69">
        <v>28.798122406005859</v>
      </c>
      <c r="L40" s="74">
        <v>28.959072113037109</v>
      </c>
    </row>
    <row r="41" spans="1:12">
      <c r="A41" s="9" t="s">
        <v>150</v>
      </c>
      <c r="B41" s="10" t="s">
        <v>53</v>
      </c>
      <c r="C41" s="10"/>
      <c r="D41" s="10" t="s">
        <v>33</v>
      </c>
      <c r="E41" s="69">
        <v>27.06768798828125</v>
      </c>
      <c r="F41" s="69">
        <v>27.000143051147461</v>
      </c>
      <c r="G41" s="69">
        <v>26.982473373413086</v>
      </c>
      <c r="H41" s="73" t="s">
        <v>54</v>
      </c>
      <c r="I41" s="73" t="s">
        <v>55</v>
      </c>
      <c r="J41" s="69">
        <v>28.974271774291992</v>
      </c>
      <c r="K41" s="69">
        <v>28.952425003051758</v>
      </c>
      <c r="L41" s="74">
        <v>28.953300476074219</v>
      </c>
    </row>
    <row r="42" spans="1:12">
      <c r="A42" s="9" t="s">
        <v>147</v>
      </c>
      <c r="B42" s="19" t="s">
        <v>14</v>
      </c>
      <c r="C42" s="19"/>
      <c r="D42" s="10" t="s">
        <v>33</v>
      </c>
      <c r="E42" s="69">
        <v>26.686960220336914</v>
      </c>
      <c r="F42" s="69">
        <v>26.645143508911133</v>
      </c>
      <c r="G42" s="69">
        <v>26.729457855224609</v>
      </c>
      <c r="H42" s="73" t="s">
        <v>54</v>
      </c>
      <c r="I42" s="73" t="s">
        <v>55</v>
      </c>
      <c r="J42" s="69">
        <v>28.903268814086914</v>
      </c>
      <c r="K42" s="69">
        <v>28.946884155273438</v>
      </c>
      <c r="L42" s="74">
        <v>28.946083068847656</v>
      </c>
    </row>
    <row r="43" spans="1:12" s="23" customFormat="1">
      <c r="A43" s="20" t="s">
        <v>151</v>
      </c>
      <c r="B43" s="21" t="s">
        <v>53</v>
      </c>
      <c r="C43" s="21"/>
      <c r="D43" s="22" t="s">
        <v>33</v>
      </c>
      <c r="E43" s="75" t="s">
        <v>42</v>
      </c>
      <c r="F43" s="75" t="s">
        <v>42</v>
      </c>
      <c r="G43" s="75" t="s">
        <v>42</v>
      </c>
      <c r="H43" s="75" t="s">
        <v>54</v>
      </c>
      <c r="I43" s="75" t="s">
        <v>55</v>
      </c>
      <c r="J43" s="69">
        <v>29.584941864013672</v>
      </c>
      <c r="K43" s="69">
        <v>29.941871643066406</v>
      </c>
      <c r="L43" s="74">
        <v>29.724735260009766</v>
      </c>
    </row>
    <row r="44" spans="1:12" s="23" customFormat="1">
      <c r="A44" s="20" t="s">
        <v>148</v>
      </c>
      <c r="B44" s="21" t="s">
        <v>14</v>
      </c>
      <c r="C44" s="21"/>
      <c r="D44" s="22" t="s">
        <v>33</v>
      </c>
      <c r="E44" s="75" t="s">
        <v>42</v>
      </c>
      <c r="F44" s="75" t="s">
        <v>42</v>
      </c>
      <c r="G44" s="75" t="s">
        <v>42</v>
      </c>
      <c r="H44" s="75" t="s">
        <v>54</v>
      </c>
      <c r="I44" s="75" t="s">
        <v>55</v>
      </c>
      <c r="J44" s="69">
        <v>29.683801651000977</v>
      </c>
      <c r="K44" s="69">
        <v>29.591514587402344</v>
      </c>
      <c r="L44" s="74">
        <v>29.890810012817383</v>
      </c>
    </row>
    <row r="45" spans="1:12" s="23" customFormat="1">
      <c r="A45" s="24" t="s">
        <v>43</v>
      </c>
      <c r="B45" s="21" t="s">
        <v>14</v>
      </c>
      <c r="C45" s="21"/>
      <c r="D45" s="22" t="s">
        <v>33</v>
      </c>
      <c r="E45" s="75"/>
      <c r="F45" s="75"/>
      <c r="G45" s="75"/>
      <c r="H45" s="75" t="s">
        <v>54</v>
      </c>
      <c r="I45" s="75" t="s">
        <v>55</v>
      </c>
      <c r="J45" s="75"/>
      <c r="K45" s="75"/>
      <c r="L45" s="76"/>
    </row>
    <row r="46" spans="1:12" s="23" customFormat="1">
      <c r="A46" s="20" t="s">
        <v>89</v>
      </c>
      <c r="B46" s="21" t="s">
        <v>53</v>
      </c>
      <c r="C46" s="21"/>
      <c r="D46" s="22" t="s">
        <v>33</v>
      </c>
      <c r="E46" s="75" t="s">
        <v>42</v>
      </c>
      <c r="F46" s="75" t="s">
        <v>42</v>
      </c>
      <c r="G46" s="75" t="s">
        <v>42</v>
      </c>
      <c r="H46" s="75" t="s">
        <v>54</v>
      </c>
      <c r="I46" s="75" t="s">
        <v>55</v>
      </c>
      <c r="J46" s="69">
        <v>29.814973831176758</v>
      </c>
      <c r="K46" s="69">
        <v>29.537591934204102</v>
      </c>
      <c r="L46" s="74">
        <v>29.464000701904297</v>
      </c>
    </row>
    <row r="47" spans="1:12" ht="15.75" thickBot="1">
      <c r="A47" s="13" t="s">
        <v>44</v>
      </c>
      <c r="B47" s="15"/>
      <c r="C47" s="15"/>
      <c r="D47" s="15" t="s">
        <v>33</v>
      </c>
      <c r="E47" s="77" t="s">
        <v>42</v>
      </c>
      <c r="F47" s="77" t="s">
        <v>42</v>
      </c>
      <c r="G47" s="77" t="s">
        <v>42</v>
      </c>
      <c r="H47" s="78" t="s">
        <v>54</v>
      </c>
      <c r="I47" s="78" t="s">
        <v>55</v>
      </c>
      <c r="J47" s="79">
        <v>29.699832916259766</v>
      </c>
      <c r="K47" s="79">
        <v>29.82636833190918</v>
      </c>
      <c r="L47" s="80">
        <v>29.798866271972656</v>
      </c>
    </row>
  </sheetData>
  <mergeCells count="4">
    <mergeCell ref="H3:H7"/>
    <mergeCell ref="A1:I1"/>
    <mergeCell ref="A14:F14"/>
    <mergeCell ref="A31:L31"/>
  </mergeCells>
  <pageMargins left="0.7" right="0.7" top="0.75" bottom="0.75" header="0.3" footer="0.3"/>
  <headerFooter>
    <oddHeader>&amp;R&amp;"Aptos"&amp;12&amp;K000000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FC13-13E7-42A1-9E89-B1D987D8885D}">
  <dimension ref="A1:L56"/>
  <sheetViews>
    <sheetView topLeftCell="A22" workbookViewId="0">
      <selection activeCell="A49" sqref="A49"/>
    </sheetView>
  </sheetViews>
  <sheetFormatPr defaultColWidth="43.140625" defaultRowHeight="15"/>
  <cols>
    <col min="1" max="1" width="21.7109375" bestFit="1" customWidth="1"/>
    <col min="2" max="2" width="13.140625" bestFit="1" customWidth="1"/>
    <col min="3" max="3" width="16.85546875" bestFit="1" customWidth="1"/>
    <col min="4" max="4" width="40" bestFit="1" customWidth="1"/>
    <col min="5" max="5" width="13.42578125" bestFit="1" customWidth="1"/>
    <col min="6" max="6" width="14.5703125" bestFit="1" customWidth="1"/>
    <col min="7" max="7" width="16" bestFit="1" customWidth="1"/>
  </cols>
  <sheetData>
    <row r="1" spans="1:9" ht="21">
      <c r="A1" s="231" t="s">
        <v>152</v>
      </c>
      <c r="B1" s="231"/>
      <c r="C1" s="231"/>
      <c r="D1" s="231"/>
      <c r="E1" s="231"/>
      <c r="F1" s="231"/>
      <c r="G1" s="231"/>
      <c r="H1" s="231"/>
      <c r="I1" s="2"/>
    </row>
    <row r="2" spans="1:9" ht="30">
      <c r="A2" s="1" t="s">
        <v>1</v>
      </c>
      <c r="B2" s="1" t="s">
        <v>2</v>
      </c>
      <c r="C2" s="1" t="s">
        <v>3</v>
      </c>
      <c r="D2" s="1" t="s">
        <v>4</v>
      </c>
      <c r="E2" s="1" t="s">
        <v>153</v>
      </c>
      <c r="F2" s="1" t="s">
        <v>6</v>
      </c>
      <c r="G2" s="1" t="s">
        <v>7</v>
      </c>
      <c r="H2" s="1" t="s">
        <v>8</v>
      </c>
      <c r="I2" s="1" t="s">
        <v>9</v>
      </c>
    </row>
    <row r="3" spans="1:9">
      <c r="A3" s="3" t="s">
        <v>154</v>
      </c>
      <c r="B3" s="3" t="s">
        <v>155</v>
      </c>
      <c r="C3" s="3" t="s">
        <v>12</v>
      </c>
      <c r="D3" s="3" t="s">
        <v>13</v>
      </c>
      <c r="E3" s="3" t="s">
        <v>91</v>
      </c>
      <c r="F3" s="4">
        <v>45615</v>
      </c>
      <c r="G3" s="3" t="s">
        <v>156</v>
      </c>
      <c r="H3" s="232" t="s">
        <v>16</v>
      </c>
      <c r="I3" s="5"/>
    </row>
    <row r="4" spans="1:9">
      <c r="A4" s="3" t="s">
        <v>154</v>
      </c>
      <c r="B4" s="3" t="s">
        <v>157</v>
      </c>
      <c r="C4" s="3" t="s">
        <v>12</v>
      </c>
      <c r="D4" s="3" t="s">
        <v>13</v>
      </c>
      <c r="E4" s="3" t="s">
        <v>91</v>
      </c>
      <c r="F4" s="4">
        <v>45615</v>
      </c>
      <c r="G4" s="3" t="s">
        <v>156</v>
      </c>
      <c r="H4" s="233"/>
      <c r="I4" s="5"/>
    </row>
    <row r="5" spans="1:9" ht="90">
      <c r="A5" s="3" t="s">
        <v>154</v>
      </c>
      <c r="B5" s="3" t="s">
        <v>158</v>
      </c>
      <c r="C5" s="3" t="s">
        <v>12</v>
      </c>
      <c r="D5" s="3" t="s">
        <v>13</v>
      </c>
      <c r="E5" s="3" t="s">
        <v>91</v>
      </c>
      <c r="F5" s="4">
        <v>45615</v>
      </c>
      <c r="G5" s="3" t="s">
        <v>156</v>
      </c>
      <c r="H5" s="233"/>
      <c r="I5" s="5" t="s">
        <v>159</v>
      </c>
    </row>
    <row r="6" spans="1:9">
      <c r="A6" s="3" t="s">
        <v>154</v>
      </c>
      <c r="B6" s="3" t="s">
        <v>160</v>
      </c>
      <c r="C6" s="3" t="s">
        <v>12</v>
      </c>
      <c r="D6" s="3" t="s">
        <v>20</v>
      </c>
      <c r="E6" s="3" t="s">
        <v>91</v>
      </c>
      <c r="F6" s="4">
        <v>45615</v>
      </c>
      <c r="G6" s="3" t="s">
        <v>156</v>
      </c>
      <c r="H6" s="233"/>
      <c r="I6" s="5"/>
    </row>
    <row r="7" spans="1:9">
      <c r="A7" s="3" t="s">
        <v>154</v>
      </c>
      <c r="B7" s="3" t="s">
        <v>21</v>
      </c>
      <c r="C7" s="3"/>
      <c r="D7" s="3" t="s">
        <v>23</v>
      </c>
      <c r="E7" s="3" t="s">
        <v>91</v>
      </c>
      <c r="F7" s="4">
        <v>45615</v>
      </c>
      <c r="G7" s="3" t="s">
        <v>156</v>
      </c>
      <c r="H7" s="234"/>
      <c r="I7" s="5"/>
    </row>
    <row r="12" spans="1:9" ht="15.75" thickBot="1"/>
    <row r="13" spans="1:9" ht="15.75" thickBot="1">
      <c r="A13" s="235" t="s">
        <v>25</v>
      </c>
      <c r="B13" s="236"/>
      <c r="C13" s="236"/>
      <c r="D13" s="236"/>
      <c r="E13" s="236"/>
      <c r="F13" s="237"/>
    </row>
    <row r="14" spans="1:9" ht="30">
      <c r="A14" s="6" t="s">
        <v>2</v>
      </c>
      <c r="B14" s="7" t="s">
        <v>27</v>
      </c>
      <c r="C14" s="7" t="s">
        <v>28</v>
      </c>
      <c r="D14" s="7" t="s">
        <v>29</v>
      </c>
      <c r="E14" s="7" t="s">
        <v>30</v>
      </c>
      <c r="F14" s="8" t="s">
        <v>31</v>
      </c>
      <c r="G14" s="30" t="s">
        <v>9</v>
      </c>
    </row>
    <row r="15" spans="1:9">
      <c r="A15" s="9" t="s">
        <v>32</v>
      </c>
      <c r="B15" s="3" t="s">
        <v>33</v>
      </c>
      <c r="C15" s="10">
        <v>22</v>
      </c>
      <c r="D15" s="10">
        <v>22.1</v>
      </c>
      <c r="E15" s="11" t="s">
        <v>145</v>
      </c>
      <c r="F15" s="12" t="s">
        <v>35</v>
      </c>
    </row>
    <row r="16" spans="1:9">
      <c r="A16" s="9" t="s">
        <v>36</v>
      </c>
      <c r="B16" s="3" t="s">
        <v>33</v>
      </c>
      <c r="C16" s="10">
        <v>36.200000000000003</v>
      </c>
      <c r="D16" s="10">
        <v>37.1</v>
      </c>
      <c r="E16" s="11" t="s">
        <v>145</v>
      </c>
      <c r="F16" s="12" t="s">
        <v>35</v>
      </c>
    </row>
    <row r="17" spans="1:12">
      <c r="A17" s="9" t="s">
        <v>161</v>
      </c>
      <c r="B17" s="3" t="s">
        <v>33</v>
      </c>
      <c r="C17" s="10">
        <v>27.5</v>
      </c>
      <c r="D17" s="10">
        <v>27.4</v>
      </c>
      <c r="E17" s="10">
        <v>27.6</v>
      </c>
      <c r="F17" s="12" t="s">
        <v>35</v>
      </c>
    </row>
    <row r="18" spans="1:12">
      <c r="A18" s="9" t="s">
        <v>162</v>
      </c>
      <c r="B18" s="3" t="s">
        <v>33</v>
      </c>
      <c r="C18" s="10">
        <v>26.6</v>
      </c>
      <c r="D18" s="10">
        <v>26.3</v>
      </c>
      <c r="E18" s="10">
        <v>26.6</v>
      </c>
      <c r="F18" s="12" t="s">
        <v>35</v>
      </c>
    </row>
    <row r="19" spans="1:12" ht="120">
      <c r="A19" s="27" t="s">
        <v>163</v>
      </c>
      <c r="B19" s="27" t="s">
        <v>33</v>
      </c>
      <c r="C19" s="28" t="s">
        <v>42</v>
      </c>
      <c r="D19" s="28" t="s">
        <v>42</v>
      </c>
      <c r="E19" s="29" t="s">
        <v>145</v>
      </c>
      <c r="F19" s="28" t="s">
        <v>35</v>
      </c>
      <c r="G19" s="31" t="s">
        <v>164</v>
      </c>
    </row>
    <row r="20" spans="1:12">
      <c r="A20" s="9" t="s">
        <v>43</v>
      </c>
      <c r="B20" s="3" t="s">
        <v>33</v>
      </c>
      <c r="C20" s="10" t="s">
        <v>42</v>
      </c>
      <c r="D20" s="10" t="s">
        <v>42</v>
      </c>
      <c r="E20" s="11" t="s">
        <v>145</v>
      </c>
      <c r="F20" s="12" t="s">
        <v>35</v>
      </c>
    </row>
    <row r="21" spans="1:12" ht="15.75" thickBot="1">
      <c r="A21" s="13" t="s">
        <v>44</v>
      </c>
      <c r="B21" s="14" t="s">
        <v>33</v>
      </c>
      <c r="C21" s="15" t="s">
        <v>42</v>
      </c>
      <c r="D21" s="15" t="s">
        <v>42</v>
      </c>
      <c r="E21" s="16" t="s">
        <v>145</v>
      </c>
      <c r="F21" s="17" t="s">
        <v>35</v>
      </c>
    </row>
    <row r="22" spans="1:12">
      <c r="A22" s="25"/>
      <c r="B22" s="25"/>
      <c r="C22" s="25"/>
      <c r="D22" s="25"/>
      <c r="E22" s="25"/>
      <c r="F22" s="25"/>
    </row>
    <row r="23" spans="1:12">
      <c r="A23" s="247" t="s">
        <v>165</v>
      </c>
      <c r="B23" s="248"/>
      <c r="C23" s="248"/>
      <c r="D23" s="248"/>
      <c r="E23" s="248"/>
      <c r="F23" s="248"/>
    </row>
    <row r="28" spans="1:12" ht="15.75" thickBot="1"/>
    <row r="29" spans="1:12" ht="15.75" thickBot="1">
      <c r="A29" s="235" t="s">
        <v>166</v>
      </c>
      <c r="B29" s="236"/>
      <c r="C29" s="236"/>
      <c r="D29" s="236"/>
      <c r="E29" s="236"/>
      <c r="F29" s="236"/>
      <c r="G29" s="236"/>
      <c r="H29" s="236"/>
      <c r="I29" s="236"/>
      <c r="J29" s="236"/>
      <c r="K29" s="236"/>
      <c r="L29" s="237"/>
    </row>
    <row r="30" spans="1:12" ht="45">
      <c r="A30" s="6" t="s">
        <v>2</v>
      </c>
      <c r="B30" s="7" t="s">
        <v>70</v>
      </c>
      <c r="C30" s="7" t="s">
        <v>47</v>
      </c>
      <c r="D30" s="7" t="s">
        <v>27</v>
      </c>
      <c r="E30" s="7" t="s">
        <v>28</v>
      </c>
      <c r="F30" s="7" t="s">
        <v>29</v>
      </c>
      <c r="G30" s="7" t="s">
        <v>30</v>
      </c>
      <c r="H30" s="7" t="s">
        <v>31</v>
      </c>
      <c r="I30" s="7" t="s">
        <v>27</v>
      </c>
      <c r="J30" s="7" t="s">
        <v>28</v>
      </c>
      <c r="K30" s="7" t="s">
        <v>29</v>
      </c>
      <c r="L30" s="8" t="s">
        <v>30</v>
      </c>
    </row>
    <row r="31" spans="1:12">
      <c r="A31" s="9" t="s">
        <v>32</v>
      </c>
      <c r="B31" s="10"/>
      <c r="C31" s="10"/>
      <c r="D31" s="10" t="s">
        <v>33</v>
      </c>
      <c r="E31" s="18"/>
      <c r="F31" s="18"/>
      <c r="G31" s="18"/>
      <c r="H31" s="10"/>
      <c r="I31" s="10"/>
      <c r="J31" s="10"/>
      <c r="K31" s="10"/>
      <c r="L31" s="12"/>
    </row>
    <row r="32" spans="1:12">
      <c r="A32" s="9" t="s">
        <v>48</v>
      </c>
      <c r="B32" s="10"/>
      <c r="C32" s="10"/>
      <c r="D32" s="10" t="s">
        <v>33</v>
      </c>
      <c r="E32" s="18"/>
      <c r="F32" s="18"/>
      <c r="G32" s="18"/>
      <c r="H32" s="10"/>
      <c r="I32" s="10"/>
      <c r="J32" s="10"/>
      <c r="K32" s="10"/>
      <c r="L32" s="12"/>
    </row>
    <row r="33" spans="1:12">
      <c r="A33" s="9" t="s">
        <v>49</v>
      </c>
      <c r="B33" s="10"/>
      <c r="C33" s="10"/>
      <c r="D33" s="10" t="s">
        <v>33</v>
      </c>
      <c r="E33" s="18"/>
      <c r="F33" s="18"/>
      <c r="G33" s="18"/>
      <c r="H33" s="10"/>
      <c r="I33" s="10"/>
      <c r="J33" s="10"/>
      <c r="K33" s="10"/>
      <c r="L33" s="12"/>
    </row>
    <row r="34" spans="1:12">
      <c r="A34" s="9" t="s">
        <v>50</v>
      </c>
      <c r="B34" s="10"/>
      <c r="C34" s="10"/>
      <c r="D34" s="10" t="s">
        <v>33</v>
      </c>
      <c r="E34" s="18"/>
      <c r="F34" s="18"/>
      <c r="G34" s="18"/>
      <c r="H34" s="10"/>
      <c r="I34" s="10"/>
      <c r="J34" s="10"/>
      <c r="K34" s="10"/>
      <c r="L34" s="12"/>
    </row>
    <row r="35" spans="1:12">
      <c r="A35" s="9" t="s">
        <v>36</v>
      </c>
      <c r="B35" s="10"/>
      <c r="C35" s="10"/>
      <c r="D35" s="10" t="s">
        <v>33</v>
      </c>
      <c r="E35" s="18"/>
      <c r="F35" s="18"/>
      <c r="G35" s="18"/>
      <c r="H35" s="10"/>
      <c r="I35" s="10"/>
      <c r="J35" s="10"/>
      <c r="K35" s="10"/>
      <c r="L35" s="12"/>
    </row>
    <row r="36" spans="1:12">
      <c r="A36" s="9" t="s">
        <v>51</v>
      </c>
      <c r="B36" s="10"/>
      <c r="C36" s="10"/>
      <c r="D36" s="10" t="s">
        <v>33</v>
      </c>
      <c r="E36" s="18"/>
      <c r="F36" s="18"/>
      <c r="G36" s="18"/>
      <c r="H36" s="10"/>
      <c r="I36" s="10"/>
      <c r="J36" s="10"/>
      <c r="K36" s="10"/>
      <c r="L36" s="12"/>
    </row>
    <row r="37" spans="1:12">
      <c r="A37" s="3" t="s">
        <v>167</v>
      </c>
      <c r="B37" s="10" t="s">
        <v>53</v>
      </c>
      <c r="C37" s="10">
        <v>38.4</v>
      </c>
      <c r="D37" s="10" t="s">
        <v>33</v>
      </c>
      <c r="E37" s="69">
        <v>26.966000000000001</v>
      </c>
      <c r="F37" s="69">
        <v>26.895</v>
      </c>
      <c r="G37" s="69">
        <v>26.99</v>
      </c>
      <c r="H37" s="10" t="s">
        <v>54</v>
      </c>
      <c r="I37" s="10" t="s">
        <v>55</v>
      </c>
      <c r="J37" s="98">
        <v>28.303999999999998</v>
      </c>
      <c r="K37" s="98">
        <v>28.326000000000001</v>
      </c>
      <c r="L37" s="99">
        <v>28.405000000000001</v>
      </c>
    </row>
    <row r="38" spans="1:12">
      <c r="A38" s="3" t="s">
        <v>161</v>
      </c>
      <c r="B38" s="10" t="s">
        <v>14</v>
      </c>
      <c r="C38" s="10">
        <v>44.7</v>
      </c>
      <c r="D38" s="10" t="s">
        <v>33</v>
      </c>
      <c r="E38" s="69">
        <v>26.398</v>
      </c>
      <c r="F38" s="69">
        <v>26.321999999999999</v>
      </c>
      <c r="G38" s="69">
        <v>26.286000000000001</v>
      </c>
      <c r="H38" s="10" t="s">
        <v>54</v>
      </c>
      <c r="I38" s="10" t="s">
        <v>55</v>
      </c>
      <c r="J38" s="100">
        <v>28.106999999999999</v>
      </c>
      <c r="K38" s="100">
        <v>28.123999999999999</v>
      </c>
      <c r="L38" s="101">
        <v>28.106999999999999</v>
      </c>
    </row>
    <row r="39" spans="1:12">
      <c r="A39" s="3" t="s">
        <v>168</v>
      </c>
      <c r="B39" s="10" t="s">
        <v>53</v>
      </c>
      <c r="C39" s="10">
        <v>41.2</v>
      </c>
      <c r="D39" s="10" t="s">
        <v>33</v>
      </c>
      <c r="E39" s="69">
        <v>24.992000000000001</v>
      </c>
      <c r="F39" s="69">
        <v>24.844999999999999</v>
      </c>
      <c r="G39" s="69">
        <v>24.945</v>
      </c>
      <c r="H39" s="10" t="s">
        <v>54</v>
      </c>
      <c r="I39" s="10" t="s">
        <v>55</v>
      </c>
      <c r="J39" s="100">
        <v>27.966000000000001</v>
      </c>
      <c r="K39" s="100">
        <v>27.84</v>
      </c>
      <c r="L39" s="101">
        <v>28.099</v>
      </c>
    </row>
    <row r="40" spans="1:12">
      <c r="A40" s="3" t="s">
        <v>162</v>
      </c>
      <c r="B40" s="19" t="s">
        <v>14</v>
      </c>
      <c r="C40" s="19">
        <v>37</v>
      </c>
      <c r="D40" s="10" t="s">
        <v>33</v>
      </c>
      <c r="E40" s="69">
        <v>25.890999999999998</v>
      </c>
      <c r="F40" s="69">
        <v>25.747</v>
      </c>
      <c r="G40" s="69">
        <v>25.66</v>
      </c>
      <c r="H40" s="10" t="s">
        <v>54</v>
      </c>
      <c r="I40" s="10" t="s">
        <v>55</v>
      </c>
      <c r="J40" s="100">
        <v>28.152999999999999</v>
      </c>
      <c r="K40" s="100">
        <v>28.077999999999999</v>
      </c>
      <c r="L40" s="101">
        <v>28.024999999999999</v>
      </c>
    </row>
    <row r="41" spans="1:12">
      <c r="A41" s="3" t="s">
        <v>169</v>
      </c>
      <c r="B41" s="19" t="s">
        <v>53</v>
      </c>
      <c r="C41" s="19">
        <v>39.9</v>
      </c>
      <c r="D41" s="10" t="s">
        <v>33</v>
      </c>
      <c r="E41" s="69">
        <v>25.48</v>
      </c>
      <c r="F41" s="69">
        <v>25.510999999999999</v>
      </c>
      <c r="G41" s="69">
        <v>25.571999999999999</v>
      </c>
      <c r="H41" s="10" t="s">
        <v>54</v>
      </c>
      <c r="I41" s="10" t="s">
        <v>55</v>
      </c>
      <c r="J41" s="100">
        <v>27.98</v>
      </c>
      <c r="K41" s="100">
        <v>28.039000000000001</v>
      </c>
      <c r="L41" s="101">
        <v>27.998999999999999</v>
      </c>
    </row>
    <row r="42" spans="1:12">
      <c r="A42" s="3" t="s">
        <v>170</v>
      </c>
      <c r="B42" s="19" t="s">
        <v>14</v>
      </c>
      <c r="C42" s="19">
        <v>52</v>
      </c>
      <c r="D42" s="10" t="s">
        <v>33</v>
      </c>
      <c r="E42" s="69">
        <v>23.951000000000001</v>
      </c>
      <c r="F42" s="69">
        <v>24.027999999999999</v>
      </c>
      <c r="G42" s="69">
        <v>24.064</v>
      </c>
      <c r="H42" s="10" t="s">
        <v>54</v>
      </c>
      <c r="I42" s="10" t="s">
        <v>55</v>
      </c>
      <c r="J42" s="100">
        <v>27.49</v>
      </c>
      <c r="K42" s="100">
        <v>27.702999999999999</v>
      </c>
      <c r="L42" s="101">
        <v>27.587</v>
      </c>
    </row>
    <row r="43" spans="1:12" s="23" customFormat="1">
      <c r="A43" s="20" t="s">
        <v>171</v>
      </c>
      <c r="B43" s="21" t="s">
        <v>53</v>
      </c>
      <c r="C43" s="21">
        <v>4.95</v>
      </c>
      <c r="D43" s="22" t="s">
        <v>33</v>
      </c>
      <c r="E43" s="75" t="s">
        <v>42</v>
      </c>
      <c r="F43" s="75" t="s">
        <v>42</v>
      </c>
      <c r="G43" s="75" t="s">
        <v>42</v>
      </c>
      <c r="H43" s="22" t="s">
        <v>54</v>
      </c>
      <c r="I43" s="22" t="s">
        <v>55</v>
      </c>
      <c r="J43" s="102">
        <v>28.175000000000001</v>
      </c>
      <c r="K43" s="102">
        <v>28.187000000000001</v>
      </c>
      <c r="L43" s="103">
        <v>28.170999999999999</v>
      </c>
    </row>
    <row r="44" spans="1:12" s="23" customFormat="1">
      <c r="A44" s="20" t="s">
        <v>163</v>
      </c>
      <c r="B44" s="21" t="s">
        <v>14</v>
      </c>
      <c r="C44" s="21">
        <v>7.35</v>
      </c>
      <c r="D44" s="22" t="s">
        <v>33</v>
      </c>
      <c r="E44" s="75">
        <v>39.284999999999997</v>
      </c>
      <c r="F44" s="75" t="s">
        <v>42</v>
      </c>
      <c r="G44" s="75">
        <v>39.902000000000001</v>
      </c>
      <c r="H44" s="22" t="s">
        <v>54</v>
      </c>
      <c r="I44" s="22" t="s">
        <v>55</v>
      </c>
      <c r="J44" s="102">
        <v>28.582999999999998</v>
      </c>
      <c r="K44" s="102">
        <v>28.594999999999999</v>
      </c>
      <c r="L44" s="103">
        <v>28.614000000000001</v>
      </c>
    </row>
    <row r="45" spans="1:12" s="23" customFormat="1">
      <c r="A45" s="24" t="s">
        <v>43</v>
      </c>
      <c r="B45" s="21" t="s">
        <v>14</v>
      </c>
      <c r="C45" s="21">
        <v>0</v>
      </c>
      <c r="D45" s="22" t="s">
        <v>33</v>
      </c>
      <c r="E45" s="75" t="s">
        <v>42</v>
      </c>
      <c r="F45" s="75" t="s">
        <v>42</v>
      </c>
      <c r="G45" s="75" t="s">
        <v>42</v>
      </c>
      <c r="H45" s="22" t="s">
        <v>54</v>
      </c>
      <c r="I45" s="22" t="s">
        <v>55</v>
      </c>
      <c r="J45" s="102">
        <v>28.414999999999999</v>
      </c>
      <c r="K45" s="102">
        <v>28.411999999999999</v>
      </c>
      <c r="L45" s="103">
        <v>28.61</v>
      </c>
    </row>
    <row r="46" spans="1:12" s="23" customFormat="1">
      <c r="A46" s="20" t="s">
        <v>172</v>
      </c>
      <c r="B46" s="21" t="s">
        <v>53</v>
      </c>
      <c r="C46" s="21">
        <v>4.5999999999999996</v>
      </c>
      <c r="D46" s="22" t="s">
        <v>33</v>
      </c>
      <c r="E46" s="75" t="s">
        <v>42</v>
      </c>
      <c r="F46" s="75">
        <v>39.148000000000003</v>
      </c>
      <c r="G46" s="75" t="s">
        <v>42</v>
      </c>
      <c r="H46" s="22" t="s">
        <v>54</v>
      </c>
      <c r="I46" s="22" t="s">
        <v>55</v>
      </c>
      <c r="J46" s="102">
        <v>28.542000000000002</v>
      </c>
      <c r="K46" s="102">
        <v>28.631</v>
      </c>
      <c r="L46" s="103">
        <v>28.728999999999999</v>
      </c>
    </row>
    <row r="47" spans="1:12" ht="15.75" thickBot="1">
      <c r="A47" s="13" t="s">
        <v>44</v>
      </c>
      <c r="B47" s="15"/>
      <c r="C47" s="15"/>
      <c r="D47" s="15" t="s">
        <v>33</v>
      </c>
      <c r="E47" s="78" t="s">
        <v>42</v>
      </c>
      <c r="F47" s="78" t="s">
        <v>42</v>
      </c>
      <c r="G47" s="78" t="s">
        <v>42</v>
      </c>
      <c r="H47" s="10" t="s">
        <v>54</v>
      </c>
      <c r="I47" s="10" t="s">
        <v>55</v>
      </c>
      <c r="J47" s="104">
        <v>28.504999999999999</v>
      </c>
      <c r="K47" s="104">
        <v>28.507999999999999</v>
      </c>
      <c r="L47" s="105">
        <v>28.594000000000001</v>
      </c>
    </row>
    <row r="49" spans="1:7">
      <c r="A49" s="26" t="s">
        <v>173</v>
      </c>
    </row>
    <row r="54" spans="1:7">
      <c r="A54" s="249" t="s">
        <v>174</v>
      </c>
      <c r="B54" s="249"/>
      <c r="C54" s="249"/>
      <c r="D54" s="249"/>
      <c r="E54" s="249"/>
      <c r="F54" s="249"/>
      <c r="G54" s="249"/>
    </row>
    <row r="56" spans="1:7">
      <c r="A56" s="246" t="s">
        <v>175</v>
      </c>
      <c r="B56" s="246"/>
      <c r="C56" s="246"/>
      <c r="D56" s="246"/>
      <c r="E56" s="246"/>
      <c r="F56" s="246"/>
    </row>
  </sheetData>
  <mergeCells count="7">
    <mergeCell ref="A56:F56"/>
    <mergeCell ref="A1:H1"/>
    <mergeCell ref="H3:H7"/>
    <mergeCell ref="A13:F13"/>
    <mergeCell ref="A23:F23"/>
    <mergeCell ref="A29:L29"/>
    <mergeCell ref="A54:G54"/>
  </mergeCells>
  <pageMargins left="0.7" right="0.7" top="0.75" bottom="0.75" header="0.3" footer="0.3"/>
  <headerFooter>
    <oddHeader>&amp;R&amp;"Aptos"&amp;12&amp;K000000 Unclassified - Non-Classifié&amp;1#_x000D_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4752-B663-4698-91BB-B022604620A4}">
  <dimension ref="A1:J60"/>
  <sheetViews>
    <sheetView topLeftCell="A36" workbookViewId="0">
      <selection activeCell="B25" sqref="B25"/>
    </sheetView>
  </sheetViews>
  <sheetFormatPr defaultColWidth="10.7109375" defaultRowHeight="15"/>
  <cols>
    <col min="1" max="1" width="17.5703125" bestFit="1" customWidth="1"/>
    <col min="2" max="2" width="21.85546875" bestFit="1" customWidth="1"/>
    <col min="3" max="3" width="14.85546875" customWidth="1"/>
    <col min="10" max="10" width="97.42578125" customWidth="1"/>
  </cols>
  <sheetData>
    <row r="1" spans="1:10">
      <c r="D1" s="254" t="s">
        <v>176</v>
      </c>
      <c r="E1" s="254"/>
      <c r="F1" s="254"/>
      <c r="G1" s="253" t="s">
        <v>177</v>
      </c>
      <c r="H1" s="254"/>
      <c r="I1" s="254"/>
    </row>
    <row r="2" spans="1:10" ht="30.75" thickBot="1">
      <c r="B2" s="135" t="s">
        <v>2</v>
      </c>
      <c r="C2" s="44" t="s">
        <v>46</v>
      </c>
      <c r="D2" s="44" t="s">
        <v>28</v>
      </c>
      <c r="E2" s="44" t="s">
        <v>29</v>
      </c>
      <c r="F2" s="44" t="s">
        <v>30</v>
      </c>
      <c r="G2" s="170" t="s">
        <v>28</v>
      </c>
      <c r="H2" s="44" t="s">
        <v>29</v>
      </c>
      <c r="I2" s="44" t="s">
        <v>30</v>
      </c>
      <c r="J2" s="44" t="s">
        <v>9</v>
      </c>
    </row>
    <row r="3" spans="1:10">
      <c r="A3" s="255" t="s">
        <v>178</v>
      </c>
      <c r="B3" s="46" t="s">
        <v>52</v>
      </c>
      <c r="C3" s="47" t="s">
        <v>53</v>
      </c>
      <c r="D3" s="47"/>
      <c r="E3" s="47"/>
      <c r="F3" s="47"/>
      <c r="G3" s="161">
        <v>27.703668594360352</v>
      </c>
      <c r="H3" s="160">
        <v>27.636062622070313</v>
      </c>
      <c r="I3" s="159">
        <v>27.563652038574219</v>
      </c>
      <c r="J3" s="171"/>
    </row>
    <row r="4" spans="1:10">
      <c r="A4" s="256"/>
      <c r="B4" s="156" t="s">
        <v>37</v>
      </c>
      <c r="C4" s="155" t="s">
        <v>14</v>
      </c>
      <c r="D4" s="155">
        <v>27.7</v>
      </c>
      <c r="E4" s="155">
        <v>27.5</v>
      </c>
      <c r="F4" s="155">
        <v>27.9</v>
      </c>
      <c r="G4" s="154">
        <v>27.843072891235352</v>
      </c>
      <c r="H4" s="153">
        <v>27.818902969360352</v>
      </c>
      <c r="I4" s="152">
        <v>27.890119552612305</v>
      </c>
      <c r="J4" s="172"/>
    </row>
    <row r="5" spans="1:10">
      <c r="A5" s="256"/>
      <c r="B5" s="26" t="s">
        <v>56</v>
      </c>
      <c r="C5" s="116" t="s">
        <v>53</v>
      </c>
      <c r="D5" s="116"/>
      <c r="E5" s="116"/>
      <c r="F5" s="116"/>
      <c r="G5" s="158">
        <v>27.348304748535156</v>
      </c>
      <c r="H5" s="97">
        <v>27.434045791625977</v>
      </c>
      <c r="I5" s="157">
        <v>27.270183563232422</v>
      </c>
      <c r="J5" s="172"/>
    </row>
    <row r="6" spans="1:10" ht="30">
      <c r="A6" s="256"/>
      <c r="B6" s="156" t="s">
        <v>38</v>
      </c>
      <c r="C6" s="155" t="s">
        <v>14</v>
      </c>
      <c r="D6" s="155">
        <v>28.5</v>
      </c>
      <c r="E6" s="155" t="s">
        <v>39</v>
      </c>
      <c r="F6" s="155">
        <v>27</v>
      </c>
      <c r="G6" s="154">
        <v>27.2281494140625</v>
      </c>
      <c r="H6" s="153">
        <v>27.163808822631836</v>
      </c>
      <c r="I6" s="152">
        <v>27.182060241699219</v>
      </c>
      <c r="J6" s="173" t="s">
        <v>40</v>
      </c>
    </row>
    <row r="7" spans="1:10">
      <c r="A7" s="256"/>
      <c r="B7" s="23" t="s">
        <v>57</v>
      </c>
      <c r="C7" s="146" t="s">
        <v>53</v>
      </c>
      <c r="D7" s="146"/>
      <c r="E7" s="146"/>
      <c r="F7" s="146"/>
      <c r="G7" s="145" t="s">
        <v>42</v>
      </c>
      <c r="H7" s="144" t="s">
        <v>42</v>
      </c>
      <c r="I7" s="143" t="s">
        <v>42</v>
      </c>
      <c r="J7" s="172"/>
    </row>
    <row r="8" spans="1:10">
      <c r="A8" s="256"/>
      <c r="B8" s="187" t="s">
        <v>41</v>
      </c>
      <c r="C8" s="188" t="s">
        <v>14</v>
      </c>
      <c r="D8" s="189" t="s">
        <v>42</v>
      </c>
      <c r="E8" s="189" t="s">
        <v>42</v>
      </c>
      <c r="F8" s="189" t="s">
        <v>42</v>
      </c>
      <c r="G8" s="190" t="s">
        <v>42</v>
      </c>
      <c r="H8" s="189" t="s">
        <v>42</v>
      </c>
      <c r="I8" s="191" t="s">
        <v>42</v>
      </c>
      <c r="J8" s="172"/>
    </row>
    <row r="9" spans="1:10">
      <c r="A9" s="256"/>
      <c r="B9" s="23" t="s">
        <v>43</v>
      </c>
      <c r="C9" s="146" t="s">
        <v>14</v>
      </c>
      <c r="D9" s="144" t="s">
        <v>42</v>
      </c>
      <c r="E9" s="144" t="s">
        <v>42</v>
      </c>
      <c r="F9" s="144" t="s">
        <v>42</v>
      </c>
      <c r="G9" s="145"/>
      <c r="H9" s="144"/>
      <c r="I9" s="143"/>
      <c r="J9" s="172"/>
    </row>
    <row r="10" spans="1:10">
      <c r="A10" s="256"/>
      <c r="B10" s="151" t="s">
        <v>58</v>
      </c>
      <c r="C10" s="150" t="s">
        <v>53</v>
      </c>
      <c r="D10" s="150"/>
      <c r="E10" s="150"/>
      <c r="F10" s="150"/>
      <c r="G10" s="149" t="s">
        <v>42</v>
      </c>
      <c r="H10" s="148" t="s">
        <v>42</v>
      </c>
      <c r="I10" s="147" t="s">
        <v>42</v>
      </c>
      <c r="J10" s="172"/>
    </row>
    <row r="11" spans="1:10">
      <c r="A11" s="256"/>
      <c r="B11" s="26" t="s">
        <v>114</v>
      </c>
      <c r="C11" s="116" t="s">
        <v>53</v>
      </c>
      <c r="D11" s="116"/>
      <c r="E11" s="116"/>
      <c r="F11" s="116"/>
      <c r="G11" s="158">
        <v>26.798322677612305</v>
      </c>
      <c r="H11" s="97">
        <v>26.829397201538086</v>
      </c>
      <c r="I11" s="157">
        <v>26.761547088623047</v>
      </c>
      <c r="J11" s="172"/>
    </row>
    <row r="12" spans="1:10">
      <c r="A12" s="256"/>
      <c r="B12" s="156" t="s">
        <v>110</v>
      </c>
      <c r="C12" s="155" t="s">
        <v>14</v>
      </c>
      <c r="D12" s="155">
        <v>27.9</v>
      </c>
      <c r="E12" s="155">
        <v>27.9</v>
      </c>
      <c r="F12" s="155">
        <v>27.6</v>
      </c>
      <c r="G12" s="154">
        <v>27.052907943725586</v>
      </c>
      <c r="H12" s="153">
        <v>26.99644660949707</v>
      </c>
      <c r="I12" s="152">
        <v>27.02470588684082</v>
      </c>
      <c r="J12" s="172"/>
    </row>
    <row r="13" spans="1:10">
      <c r="A13" s="256"/>
      <c r="B13" s="26" t="s">
        <v>115</v>
      </c>
      <c r="C13" s="116" t="s">
        <v>53</v>
      </c>
      <c r="D13" s="116"/>
      <c r="E13" s="116"/>
      <c r="F13" s="116"/>
      <c r="G13" s="158">
        <v>27.131267547607422</v>
      </c>
      <c r="H13" s="97">
        <v>27.062820434570313</v>
      </c>
      <c r="I13" s="157">
        <v>27.071315765380859</v>
      </c>
      <c r="J13" s="172"/>
    </row>
    <row r="14" spans="1:10">
      <c r="A14" s="256"/>
      <c r="B14" s="156" t="s">
        <v>116</v>
      </c>
      <c r="C14" s="155" t="s">
        <v>14</v>
      </c>
      <c r="D14" s="155">
        <v>28.1</v>
      </c>
      <c r="E14" s="155">
        <v>28.5</v>
      </c>
      <c r="F14" s="169" t="s">
        <v>34</v>
      </c>
      <c r="G14" s="154">
        <v>29.084983825683594</v>
      </c>
      <c r="H14" s="153">
        <v>29.079376220703125</v>
      </c>
      <c r="I14" s="152">
        <v>29.025020599365234</v>
      </c>
      <c r="J14" s="174"/>
    </row>
    <row r="15" spans="1:10">
      <c r="A15" s="256"/>
      <c r="B15" s="26" t="s">
        <v>117</v>
      </c>
      <c r="C15" s="116" t="s">
        <v>53</v>
      </c>
      <c r="D15" s="116"/>
      <c r="E15" s="116"/>
      <c r="F15" s="116"/>
      <c r="G15" s="158">
        <v>27.080070495605469</v>
      </c>
      <c r="H15" s="97">
        <v>27.047697067260742</v>
      </c>
      <c r="I15" s="157">
        <v>27.03045654296875</v>
      </c>
      <c r="J15" s="172"/>
    </row>
    <row r="16" spans="1:10">
      <c r="A16" s="256"/>
      <c r="B16" s="156" t="s">
        <v>111</v>
      </c>
      <c r="C16" s="155" t="s">
        <v>14</v>
      </c>
      <c r="D16" s="155">
        <v>28.2</v>
      </c>
      <c r="E16" s="155">
        <v>28.2</v>
      </c>
      <c r="F16" s="155">
        <v>28.1</v>
      </c>
      <c r="G16" s="154">
        <v>27.210287094116211</v>
      </c>
      <c r="H16" s="153">
        <v>27.228553771972656</v>
      </c>
      <c r="I16" s="152">
        <v>27.275283813476563</v>
      </c>
      <c r="J16" s="172"/>
    </row>
    <row r="17" spans="1:10">
      <c r="A17" s="256"/>
      <c r="B17" s="176" t="s">
        <v>118</v>
      </c>
      <c r="C17" s="177" t="s">
        <v>53</v>
      </c>
      <c r="D17" s="177"/>
      <c r="E17" s="177"/>
      <c r="F17" s="177"/>
      <c r="G17" s="178" t="s">
        <v>42</v>
      </c>
      <c r="H17" s="179" t="s">
        <v>42</v>
      </c>
      <c r="I17" s="180" t="s">
        <v>42</v>
      </c>
      <c r="J17" s="172"/>
    </row>
    <row r="18" spans="1:10">
      <c r="A18" s="256"/>
      <c r="B18" s="181" t="s">
        <v>119</v>
      </c>
      <c r="C18" s="182" t="s">
        <v>14</v>
      </c>
      <c r="D18" s="183" t="s">
        <v>22</v>
      </c>
      <c r="E18" s="183" t="s">
        <v>22</v>
      </c>
      <c r="F18" s="183" t="s">
        <v>22</v>
      </c>
      <c r="G18" s="184">
        <v>27.35655403137207</v>
      </c>
      <c r="H18" s="185">
        <v>27.442693710327148</v>
      </c>
      <c r="I18" s="186">
        <v>27.377956390380859</v>
      </c>
      <c r="J18" s="174" t="s">
        <v>179</v>
      </c>
    </row>
    <row r="19" spans="1:10">
      <c r="A19" s="256"/>
      <c r="B19" s="23" t="s">
        <v>43</v>
      </c>
      <c r="C19" s="146" t="s">
        <v>14</v>
      </c>
      <c r="D19" s="144" t="s">
        <v>42</v>
      </c>
      <c r="E19" s="144" t="s">
        <v>42</v>
      </c>
      <c r="F19" s="144" t="s">
        <v>42</v>
      </c>
      <c r="G19" s="145"/>
      <c r="H19" s="144"/>
      <c r="I19" s="143"/>
      <c r="J19" s="172"/>
    </row>
    <row r="20" spans="1:10" ht="15.75" thickBot="1">
      <c r="A20" s="257"/>
      <c r="B20" s="142" t="s">
        <v>58</v>
      </c>
      <c r="C20" s="141" t="s">
        <v>53</v>
      </c>
      <c r="D20" s="141"/>
      <c r="E20" s="141"/>
      <c r="F20" s="141"/>
      <c r="G20" s="140" t="s">
        <v>42</v>
      </c>
      <c r="H20" s="139" t="s">
        <v>42</v>
      </c>
      <c r="I20" s="138" t="s">
        <v>42</v>
      </c>
      <c r="J20" s="172"/>
    </row>
    <row r="21" spans="1:10" ht="15" customHeight="1">
      <c r="A21" s="250" t="s">
        <v>180</v>
      </c>
      <c r="B21" s="46" t="s">
        <v>71</v>
      </c>
      <c r="C21" s="47" t="s">
        <v>53</v>
      </c>
      <c r="D21" s="47"/>
      <c r="E21" s="47"/>
      <c r="F21" s="47"/>
      <c r="G21" s="161">
        <v>27.338237762451172</v>
      </c>
      <c r="H21" s="160">
        <v>27.358592987060547</v>
      </c>
      <c r="I21" s="159">
        <v>27.317073822021484</v>
      </c>
      <c r="J21" s="172"/>
    </row>
    <row r="22" spans="1:10">
      <c r="A22" s="251"/>
      <c r="B22" s="156" t="s">
        <v>67</v>
      </c>
      <c r="C22" s="155" t="s">
        <v>14</v>
      </c>
      <c r="D22" s="155">
        <v>26.9</v>
      </c>
      <c r="E22" s="155">
        <v>26.6</v>
      </c>
      <c r="F22" s="155">
        <v>26.3</v>
      </c>
      <c r="G22" s="154">
        <v>27.020353317260742</v>
      </c>
      <c r="H22" s="153">
        <v>27.054521560668945</v>
      </c>
      <c r="I22" s="152">
        <v>26.973606109619141</v>
      </c>
      <c r="J22" s="172"/>
    </row>
    <row r="23" spans="1:10">
      <c r="A23" s="251"/>
      <c r="B23" s="26" t="s">
        <v>72</v>
      </c>
      <c r="C23" s="116" t="s">
        <v>53</v>
      </c>
      <c r="D23" s="116"/>
      <c r="E23" s="116"/>
      <c r="F23" s="116"/>
      <c r="G23" s="158">
        <v>27.273155212402344</v>
      </c>
      <c r="H23" s="97">
        <v>27.375602722167969</v>
      </c>
      <c r="I23" s="157">
        <v>27.356679916381836</v>
      </c>
      <c r="J23" s="172"/>
    </row>
    <row r="24" spans="1:10">
      <c r="A24" s="251"/>
      <c r="B24" s="156" t="s">
        <v>68</v>
      </c>
      <c r="C24" s="155" t="s">
        <v>14</v>
      </c>
      <c r="D24" s="155">
        <v>27.2</v>
      </c>
      <c r="E24" s="155">
        <v>26.4</v>
      </c>
      <c r="F24" s="155">
        <v>27.3</v>
      </c>
      <c r="G24" s="154">
        <v>27.620309829711914</v>
      </c>
      <c r="H24" s="153">
        <v>27.654542922973633</v>
      </c>
      <c r="I24" s="152">
        <v>27.605251312255859</v>
      </c>
      <c r="J24" s="172"/>
    </row>
    <row r="25" spans="1:10">
      <c r="A25" s="251"/>
      <c r="B25" s="23" t="s">
        <v>73</v>
      </c>
      <c r="C25" s="146" t="s">
        <v>53</v>
      </c>
      <c r="D25" s="146"/>
      <c r="E25" s="146"/>
      <c r="F25" s="146"/>
      <c r="G25" s="145" t="s">
        <v>42</v>
      </c>
      <c r="H25" s="144" t="s">
        <v>42</v>
      </c>
      <c r="I25" s="143" t="s">
        <v>42</v>
      </c>
      <c r="J25" s="172"/>
    </row>
    <row r="26" spans="1:10">
      <c r="A26" s="251"/>
      <c r="B26" s="187" t="s">
        <v>69</v>
      </c>
      <c r="C26" s="188" t="s">
        <v>14</v>
      </c>
      <c r="D26" s="189" t="s">
        <v>42</v>
      </c>
      <c r="E26" s="189" t="s">
        <v>42</v>
      </c>
      <c r="F26" s="189" t="s">
        <v>42</v>
      </c>
      <c r="G26" s="190" t="s">
        <v>42</v>
      </c>
      <c r="H26" s="189" t="s">
        <v>42</v>
      </c>
      <c r="I26" s="191" t="s">
        <v>42</v>
      </c>
      <c r="J26" s="172"/>
    </row>
    <row r="27" spans="1:10">
      <c r="A27" s="251"/>
      <c r="B27" s="23" t="s">
        <v>43</v>
      </c>
      <c r="C27" s="146" t="s">
        <v>14</v>
      </c>
      <c r="D27" s="144" t="s">
        <v>42</v>
      </c>
      <c r="E27" s="144" t="s">
        <v>42</v>
      </c>
      <c r="F27" s="144" t="s">
        <v>42</v>
      </c>
      <c r="G27" s="145"/>
      <c r="H27" s="144"/>
      <c r="I27" s="143"/>
      <c r="J27" s="172"/>
    </row>
    <row r="28" spans="1:10">
      <c r="A28" s="251"/>
      <c r="B28" s="151" t="s">
        <v>58</v>
      </c>
      <c r="C28" s="150" t="s">
        <v>53</v>
      </c>
      <c r="D28" s="150"/>
      <c r="E28" s="150"/>
      <c r="F28" s="150"/>
      <c r="G28" s="149" t="s">
        <v>42</v>
      </c>
      <c r="H28" s="148" t="s">
        <v>42</v>
      </c>
      <c r="I28" s="147" t="s">
        <v>42</v>
      </c>
      <c r="J28" s="172"/>
    </row>
    <row r="29" spans="1:10">
      <c r="A29" s="251"/>
      <c r="B29" s="26" t="s">
        <v>101</v>
      </c>
      <c r="C29" s="116" t="s">
        <v>53</v>
      </c>
      <c r="D29" s="116"/>
      <c r="E29" s="116"/>
      <c r="F29" s="116"/>
      <c r="G29" s="158">
        <v>27.497293472290039</v>
      </c>
      <c r="H29" s="97">
        <v>27.457851409912109</v>
      </c>
      <c r="I29" s="157">
        <v>27.376773834228516</v>
      </c>
      <c r="J29" s="172"/>
    </row>
    <row r="30" spans="1:10">
      <c r="A30" s="251"/>
      <c r="B30" s="156" t="s">
        <v>98</v>
      </c>
      <c r="C30" s="155" t="s">
        <v>14</v>
      </c>
      <c r="D30" s="155">
        <v>28.9</v>
      </c>
      <c r="E30" s="155">
        <v>29</v>
      </c>
      <c r="F30" s="155">
        <v>29</v>
      </c>
      <c r="G30" s="154">
        <v>27.908662796020508</v>
      </c>
      <c r="H30" s="153">
        <v>27.980592727661133</v>
      </c>
      <c r="I30" s="152">
        <v>27.884199142456055</v>
      </c>
      <c r="J30" s="172"/>
    </row>
    <row r="31" spans="1:10">
      <c r="A31" s="251"/>
      <c r="B31" s="26" t="s">
        <v>102</v>
      </c>
      <c r="C31" s="116" t="s">
        <v>53</v>
      </c>
      <c r="D31" s="116"/>
      <c r="E31" s="116"/>
      <c r="F31" s="116"/>
      <c r="G31" s="158">
        <v>28.041946411132813</v>
      </c>
      <c r="H31" s="97">
        <v>28.06390380859375</v>
      </c>
      <c r="I31" s="157">
        <v>28.009361267089844</v>
      </c>
      <c r="J31" s="172"/>
    </row>
    <row r="32" spans="1:10">
      <c r="A32" s="251"/>
      <c r="B32" s="156" t="s">
        <v>99</v>
      </c>
      <c r="C32" s="155" t="s">
        <v>14</v>
      </c>
      <c r="D32" s="155">
        <v>29</v>
      </c>
      <c r="E32" s="155">
        <v>29</v>
      </c>
      <c r="F32" s="155">
        <v>28.8</v>
      </c>
      <c r="G32" s="154">
        <v>27.98756217956543</v>
      </c>
      <c r="H32" s="153">
        <v>28.045314788818359</v>
      </c>
      <c r="I32" s="152">
        <v>27.97834587097168</v>
      </c>
      <c r="J32" s="172"/>
    </row>
    <row r="33" spans="1:10" ht="30">
      <c r="A33" s="251"/>
      <c r="B33" s="196" t="s">
        <v>103</v>
      </c>
      <c r="C33" s="197" t="s">
        <v>53</v>
      </c>
      <c r="D33" s="197"/>
      <c r="E33" s="197"/>
      <c r="F33" s="197"/>
      <c r="G33" s="193" t="s">
        <v>42</v>
      </c>
      <c r="H33" s="194">
        <v>38.435478210449219</v>
      </c>
      <c r="I33" s="195">
        <v>38.361370086669922</v>
      </c>
      <c r="J33" s="198" t="s">
        <v>181</v>
      </c>
    </row>
    <row r="34" spans="1:10">
      <c r="A34" s="251"/>
      <c r="B34" s="187" t="s">
        <v>100</v>
      </c>
      <c r="C34" s="188" t="s">
        <v>14</v>
      </c>
      <c r="D34" s="189" t="s">
        <v>42</v>
      </c>
      <c r="E34" s="189" t="s">
        <v>42</v>
      </c>
      <c r="F34" s="189" t="s">
        <v>42</v>
      </c>
      <c r="G34" s="190" t="s">
        <v>42</v>
      </c>
      <c r="H34" s="189" t="s">
        <v>42</v>
      </c>
      <c r="I34" s="191" t="s">
        <v>42</v>
      </c>
      <c r="J34" s="172"/>
    </row>
    <row r="35" spans="1:10">
      <c r="A35" s="251"/>
      <c r="B35" s="23" t="s">
        <v>43</v>
      </c>
      <c r="C35" s="146" t="s">
        <v>14</v>
      </c>
      <c r="D35" s="97" t="s">
        <v>42</v>
      </c>
      <c r="E35" s="97" t="s">
        <v>42</v>
      </c>
      <c r="F35" s="97" t="s">
        <v>42</v>
      </c>
      <c r="G35" s="145"/>
      <c r="H35" s="144"/>
      <c r="I35" s="143"/>
      <c r="J35" s="172"/>
    </row>
    <row r="36" spans="1:10" ht="15.75" thickBot="1">
      <c r="A36" s="252"/>
      <c r="B36" s="142" t="s">
        <v>58</v>
      </c>
      <c r="C36" s="141" t="s">
        <v>53</v>
      </c>
      <c r="D36" s="141"/>
      <c r="E36" s="141"/>
      <c r="F36" s="141"/>
      <c r="G36" s="168" t="s">
        <v>42</v>
      </c>
      <c r="H36" s="167" t="s">
        <v>42</v>
      </c>
      <c r="I36" s="166" t="s">
        <v>42</v>
      </c>
      <c r="J36" s="172"/>
    </row>
    <row r="37" spans="1:10">
      <c r="A37" s="250" t="s">
        <v>182</v>
      </c>
      <c r="B37" s="165" t="s">
        <v>86</v>
      </c>
      <c r="C37" s="47" t="s">
        <v>53</v>
      </c>
      <c r="D37" s="47"/>
      <c r="E37" s="47"/>
      <c r="F37" s="47"/>
      <c r="G37" s="161">
        <v>27.317514419555664</v>
      </c>
      <c r="H37" s="160">
        <v>27.227245330810547</v>
      </c>
      <c r="I37" s="159">
        <v>27.25030517578125</v>
      </c>
      <c r="J37" s="172"/>
    </row>
    <row r="38" spans="1:10">
      <c r="A38" s="251"/>
      <c r="B38" s="163" t="s">
        <v>83</v>
      </c>
      <c r="C38" s="155" t="s">
        <v>14</v>
      </c>
      <c r="D38" s="155">
        <v>27.7</v>
      </c>
      <c r="E38" s="155">
        <v>27.5</v>
      </c>
      <c r="F38" s="155">
        <v>27.6</v>
      </c>
      <c r="G38" s="154">
        <v>27.635665893554688</v>
      </c>
      <c r="H38" s="153">
        <v>27.681081771850586</v>
      </c>
      <c r="I38" s="152">
        <v>27.71003532409668</v>
      </c>
      <c r="J38" s="172"/>
    </row>
    <row r="39" spans="1:10">
      <c r="A39" s="251"/>
      <c r="B39" s="164" t="s">
        <v>87</v>
      </c>
      <c r="C39" s="116" t="s">
        <v>53</v>
      </c>
      <c r="D39" s="116"/>
      <c r="E39" s="116"/>
      <c r="F39" s="116"/>
      <c r="G39" s="158">
        <v>27.043563842773438</v>
      </c>
      <c r="H39" s="97">
        <v>27.09660530090332</v>
      </c>
      <c r="I39" s="157">
        <v>27.002836227416992</v>
      </c>
      <c r="J39" s="172"/>
    </row>
    <row r="40" spans="1:10">
      <c r="A40" s="251"/>
      <c r="B40" s="163" t="s">
        <v>84</v>
      </c>
      <c r="C40" s="155" t="s">
        <v>14</v>
      </c>
      <c r="D40" s="155">
        <v>26.7</v>
      </c>
      <c r="E40" s="155">
        <v>27</v>
      </c>
      <c r="F40" s="155">
        <v>27.2</v>
      </c>
      <c r="G40" s="154">
        <v>27.098020553588867</v>
      </c>
      <c r="H40" s="153">
        <v>27.121566772460938</v>
      </c>
      <c r="I40" s="152">
        <v>27.163602828979492</v>
      </c>
      <c r="J40" s="172"/>
    </row>
    <row r="41" spans="1:10">
      <c r="A41" s="251"/>
      <c r="B41" s="162" t="s">
        <v>88</v>
      </c>
      <c r="C41" s="146" t="s">
        <v>53</v>
      </c>
      <c r="D41" s="146"/>
      <c r="E41" s="146"/>
      <c r="F41" s="146"/>
      <c r="G41" s="145" t="s">
        <v>42</v>
      </c>
      <c r="H41" s="144" t="s">
        <v>42</v>
      </c>
      <c r="I41" s="143" t="s">
        <v>42</v>
      </c>
      <c r="J41" s="172"/>
    </row>
    <row r="42" spans="1:10">
      <c r="A42" s="251"/>
      <c r="B42" s="192" t="s">
        <v>85</v>
      </c>
      <c r="C42" s="188" t="s">
        <v>14</v>
      </c>
      <c r="D42" s="189" t="s">
        <v>42</v>
      </c>
      <c r="E42" s="189" t="s">
        <v>42</v>
      </c>
      <c r="F42" s="189" t="s">
        <v>42</v>
      </c>
      <c r="G42" s="190" t="s">
        <v>42</v>
      </c>
      <c r="H42" s="189" t="s">
        <v>42</v>
      </c>
      <c r="I42" s="191" t="s">
        <v>42</v>
      </c>
      <c r="J42" s="172"/>
    </row>
    <row r="43" spans="1:10">
      <c r="A43" s="251"/>
      <c r="B43" s="162" t="s">
        <v>43</v>
      </c>
      <c r="C43" s="146" t="s">
        <v>14</v>
      </c>
      <c r="D43" s="144" t="s">
        <v>42</v>
      </c>
      <c r="E43" s="144" t="s">
        <v>42</v>
      </c>
      <c r="F43" s="144" t="s">
        <v>42</v>
      </c>
      <c r="G43" s="145"/>
      <c r="H43" s="144"/>
      <c r="I43" s="143"/>
      <c r="J43" s="172"/>
    </row>
    <row r="44" spans="1:10" ht="15.75" thickBot="1">
      <c r="A44" s="252"/>
      <c r="B44" s="142" t="s">
        <v>58</v>
      </c>
      <c r="C44" s="141" t="s">
        <v>53</v>
      </c>
      <c r="D44" s="141"/>
      <c r="E44" s="141"/>
      <c r="F44" s="141"/>
      <c r="G44" s="140" t="s">
        <v>42</v>
      </c>
      <c r="H44" s="139" t="s">
        <v>42</v>
      </c>
      <c r="I44" s="138" t="s">
        <v>42</v>
      </c>
      <c r="J44" s="172"/>
    </row>
    <row r="45" spans="1:10">
      <c r="A45" s="250" t="s">
        <v>183</v>
      </c>
      <c r="B45" s="46" t="s">
        <v>149</v>
      </c>
      <c r="C45" s="47" t="s">
        <v>53</v>
      </c>
      <c r="D45" s="47"/>
      <c r="E45" s="47"/>
      <c r="F45" s="47"/>
      <c r="G45" s="161">
        <v>26.728340148925781</v>
      </c>
      <c r="H45" s="160">
        <v>26.566797256469727</v>
      </c>
      <c r="I45" s="159">
        <v>26.622550964355469</v>
      </c>
      <c r="J45" s="172"/>
    </row>
    <row r="46" spans="1:10">
      <c r="A46" s="251"/>
      <c r="B46" s="156" t="s">
        <v>146</v>
      </c>
      <c r="C46" s="155" t="s">
        <v>14</v>
      </c>
      <c r="D46" s="155">
        <v>27.4</v>
      </c>
      <c r="E46" s="155">
        <v>27.7</v>
      </c>
      <c r="F46" s="155">
        <v>27.5</v>
      </c>
      <c r="G46" s="154">
        <v>26.593740463256836</v>
      </c>
      <c r="H46" s="153">
        <v>26.501979827880859</v>
      </c>
      <c r="I46" s="152">
        <v>26.601316452026367</v>
      </c>
      <c r="J46" s="172"/>
    </row>
    <row r="47" spans="1:10">
      <c r="A47" s="251"/>
      <c r="B47" s="26" t="s">
        <v>150</v>
      </c>
      <c r="C47" s="116" t="s">
        <v>53</v>
      </c>
      <c r="D47" s="116"/>
      <c r="E47" s="116"/>
      <c r="F47" s="116"/>
      <c r="G47" s="158">
        <v>27.06768798828125</v>
      </c>
      <c r="H47" s="97">
        <v>27.000143051147461</v>
      </c>
      <c r="I47" s="157">
        <v>26.982473373413086</v>
      </c>
      <c r="J47" s="172"/>
    </row>
    <row r="48" spans="1:10">
      <c r="A48" s="251"/>
      <c r="B48" s="156" t="s">
        <v>147</v>
      </c>
      <c r="C48" s="155" t="s">
        <v>14</v>
      </c>
      <c r="D48" s="155">
        <v>27.9</v>
      </c>
      <c r="E48" s="155">
        <v>27.7</v>
      </c>
      <c r="F48" s="155">
        <v>27.8</v>
      </c>
      <c r="G48" s="154">
        <v>26.686960220336914</v>
      </c>
      <c r="H48" s="153">
        <v>26.645143508911133</v>
      </c>
      <c r="I48" s="152">
        <v>26.729457855224609</v>
      </c>
      <c r="J48" s="172"/>
    </row>
    <row r="49" spans="1:10">
      <c r="A49" s="251"/>
      <c r="B49" s="23" t="s">
        <v>151</v>
      </c>
      <c r="C49" s="146" t="s">
        <v>53</v>
      </c>
      <c r="D49" s="146"/>
      <c r="E49" s="146"/>
      <c r="F49" s="146"/>
      <c r="G49" s="145" t="s">
        <v>42</v>
      </c>
      <c r="H49" s="144" t="s">
        <v>42</v>
      </c>
      <c r="I49" s="143" t="s">
        <v>42</v>
      </c>
      <c r="J49" s="172"/>
    </row>
    <row r="50" spans="1:10">
      <c r="A50" s="251"/>
      <c r="B50" s="187" t="s">
        <v>148</v>
      </c>
      <c r="C50" s="188" t="s">
        <v>14</v>
      </c>
      <c r="D50" s="189" t="s">
        <v>42</v>
      </c>
      <c r="E50" s="189" t="s">
        <v>42</v>
      </c>
      <c r="F50" s="189" t="s">
        <v>42</v>
      </c>
      <c r="G50" s="190" t="s">
        <v>42</v>
      </c>
      <c r="H50" s="189" t="s">
        <v>42</v>
      </c>
      <c r="I50" s="191" t="s">
        <v>42</v>
      </c>
      <c r="J50" s="172"/>
    </row>
    <row r="51" spans="1:10">
      <c r="A51" s="251"/>
      <c r="B51" s="23" t="s">
        <v>43</v>
      </c>
      <c r="C51" s="146" t="s">
        <v>14</v>
      </c>
      <c r="D51" s="144" t="s">
        <v>42</v>
      </c>
      <c r="E51" s="144" t="s">
        <v>42</v>
      </c>
      <c r="F51" s="144" t="s">
        <v>42</v>
      </c>
      <c r="G51" s="145"/>
      <c r="H51" s="144"/>
      <c r="I51" s="143"/>
      <c r="J51" s="172"/>
    </row>
    <row r="52" spans="1:10">
      <c r="A52" s="251"/>
      <c r="B52" s="151" t="s">
        <v>58</v>
      </c>
      <c r="C52" s="150" t="s">
        <v>53</v>
      </c>
      <c r="D52" s="150"/>
      <c r="E52" s="150"/>
      <c r="F52" s="150"/>
      <c r="G52" s="149" t="s">
        <v>42</v>
      </c>
      <c r="H52" s="148" t="s">
        <v>42</v>
      </c>
      <c r="I52" s="147" t="s">
        <v>42</v>
      </c>
      <c r="J52" s="172"/>
    </row>
    <row r="53" spans="1:10">
      <c r="A53" s="251"/>
      <c r="B53" s="26" t="s">
        <v>167</v>
      </c>
      <c r="C53" s="116" t="s">
        <v>53</v>
      </c>
      <c r="G53" s="158">
        <v>26.966000000000001</v>
      </c>
      <c r="H53" s="97">
        <v>26.895</v>
      </c>
      <c r="I53" s="157">
        <v>26.99</v>
      </c>
      <c r="J53" s="172"/>
    </row>
    <row r="54" spans="1:10">
      <c r="A54" s="251"/>
      <c r="B54" s="156" t="s">
        <v>161</v>
      </c>
      <c r="C54" s="155" t="s">
        <v>14</v>
      </c>
      <c r="D54" s="155">
        <v>27.5</v>
      </c>
      <c r="E54" s="155">
        <v>27.4</v>
      </c>
      <c r="F54" s="155">
        <v>27.6</v>
      </c>
      <c r="G54" s="154">
        <v>26.398</v>
      </c>
      <c r="H54" s="153">
        <v>26.321999999999999</v>
      </c>
      <c r="I54" s="152">
        <v>26.286000000000001</v>
      </c>
      <c r="J54" s="172"/>
    </row>
    <row r="55" spans="1:10">
      <c r="A55" s="251"/>
      <c r="B55" s="26" t="s">
        <v>168</v>
      </c>
      <c r="C55" s="116" t="s">
        <v>53</v>
      </c>
      <c r="G55" s="158">
        <v>24.992000000000001</v>
      </c>
      <c r="H55" s="97">
        <v>24.844999999999999</v>
      </c>
      <c r="I55" s="157">
        <v>24.945</v>
      </c>
      <c r="J55" s="172"/>
    </row>
    <row r="56" spans="1:10">
      <c r="A56" s="251"/>
      <c r="B56" s="156" t="s">
        <v>162</v>
      </c>
      <c r="C56" s="155" t="s">
        <v>14</v>
      </c>
      <c r="D56" s="155">
        <v>26.6</v>
      </c>
      <c r="E56" s="155">
        <v>26.3</v>
      </c>
      <c r="F56" s="155">
        <v>26.6</v>
      </c>
      <c r="G56" s="154">
        <v>25.890999999999998</v>
      </c>
      <c r="H56" s="153">
        <v>25.747</v>
      </c>
      <c r="I56" s="152">
        <v>25.66</v>
      </c>
      <c r="J56" s="172"/>
    </row>
    <row r="57" spans="1:10">
      <c r="A57" s="251"/>
      <c r="B57" s="23" t="s">
        <v>171</v>
      </c>
      <c r="C57" s="146" t="s">
        <v>53</v>
      </c>
      <c r="G57" s="145" t="s">
        <v>42</v>
      </c>
      <c r="H57" s="144" t="s">
        <v>42</v>
      </c>
      <c r="I57" s="143" t="s">
        <v>42</v>
      </c>
      <c r="J57" s="172"/>
    </row>
    <row r="58" spans="1:10">
      <c r="A58" s="251"/>
      <c r="B58" s="187" t="s">
        <v>163</v>
      </c>
      <c r="C58" s="188" t="s">
        <v>14</v>
      </c>
      <c r="D58" s="187" t="s">
        <v>42</v>
      </c>
      <c r="E58" s="187" t="s">
        <v>42</v>
      </c>
      <c r="F58" s="187">
        <v>42.99</v>
      </c>
      <c r="G58" s="190">
        <v>39.284999999999997</v>
      </c>
      <c r="H58" s="189" t="s">
        <v>42</v>
      </c>
      <c r="I58" s="191">
        <v>39.902000000000001</v>
      </c>
      <c r="J58" s="172"/>
    </row>
    <row r="59" spans="1:10">
      <c r="A59" s="251"/>
      <c r="B59" s="23" t="s">
        <v>43</v>
      </c>
      <c r="C59" s="146" t="s">
        <v>14</v>
      </c>
      <c r="D59" t="s">
        <v>42</v>
      </c>
      <c r="E59" t="s">
        <v>42</v>
      </c>
      <c r="F59" t="s">
        <v>42</v>
      </c>
      <c r="G59" s="145" t="s">
        <v>42</v>
      </c>
      <c r="H59" s="144" t="s">
        <v>42</v>
      </c>
      <c r="I59" s="143" t="s">
        <v>42</v>
      </c>
      <c r="J59" s="172"/>
    </row>
    <row r="60" spans="1:10" ht="30.75" thickBot="1">
      <c r="A60" s="252"/>
      <c r="B60" s="142" t="s">
        <v>172</v>
      </c>
      <c r="C60" s="141" t="s">
        <v>53</v>
      </c>
      <c r="D60" s="49"/>
      <c r="E60" s="49"/>
      <c r="F60" s="49"/>
      <c r="G60" s="140" t="s">
        <v>42</v>
      </c>
      <c r="H60" s="139">
        <v>39.148000000000003</v>
      </c>
      <c r="I60" s="138" t="s">
        <v>42</v>
      </c>
      <c r="J60" s="175" t="s">
        <v>184</v>
      </c>
    </row>
  </sheetData>
  <mergeCells count="6">
    <mergeCell ref="A37:A44"/>
    <mergeCell ref="A45:A60"/>
    <mergeCell ref="G1:I1"/>
    <mergeCell ref="D1:F1"/>
    <mergeCell ref="A3:A20"/>
    <mergeCell ref="A21:A36"/>
  </mergeCells>
  <pageMargins left="0.7" right="0.7" top="0.75" bottom="0.75" header="0.3" footer="0.3"/>
  <headerFooter>
    <oddHeader>&amp;R&amp;"Aptos"&amp;12&amp;K000000 Unclassified - Non-Classifié&amp;1#_x000D_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7B7E0-80E8-43F7-92B9-EB695539C290}">
  <dimension ref="A1:E6"/>
  <sheetViews>
    <sheetView workbookViewId="0">
      <selection sqref="A1:E6"/>
    </sheetView>
  </sheetViews>
  <sheetFormatPr defaultRowHeight="15"/>
  <cols>
    <col min="1" max="1" width="32.42578125" bestFit="1" customWidth="1"/>
    <col min="2" max="2" width="16.42578125" bestFit="1" customWidth="1"/>
    <col min="3" max="3" width="14.42578125" bestFit="1" customWidth="1"/>
    <col min="4" max="4" width="14.7109375" bestFit="1" customWidth="1"/>
    <col min="5" max="5" width="18.5703125" customWidth="1"/>
  </cols>
  <sheetData>
    <row r="1" spans="1:5" ht="30.75" thickBot="1">
      <c r="A1" s="52" t="s">
        <v>185</v>
      </c>
      <c r="B1" s="52" t="s">
        <v>186</v>
      </c>
      <c r="C1" s="52" t="s">
        <v>187</v>
      </c>
      <c r="D1" s="52" t="s">
        <v>188</v>
      </c>
      <c r="E1" s="52" t="s">
        <v>189</v>
      </c>
    </row>
    <row r="2" spans="1:5">
      <c r="A2" s="50" t="s">
        <v>178</v>
      </c>
      <c r="B2" s="45" t="s">
        <v>190</v>
      </c>
      <c r="C2" s="45" t="s">
        <v>191</v>
      </c>
      <c r="D2" s="45" t="s">
        <v>192</v>
      </c>
      <c r="E2" s="45" t="s">
        <v>193</v>
      </c>
    </row>
    <row r="3" spans="1:5">
      <c r="A3" s="50" t="s">
        <v>194</v>
      </c>
      <c r="B3" s="45" t="s">
        <v>195</v>
      </c>
      <c r="C3" s="45" t="s">
        <v>196</v>
      </c>
      <c r="D3" s="45" t="s">
        <v>197</v>
      </c>
      <c r="E3" s="45" t="s">
        <v>198</v>
      </c>
    </row>
    <row r="4" spans="1:5">
      <c r="A4" s="51" t="s">
        <v>180</v>
      </c>
      <c r="B4" s="45" t="s">
        <v>190</v>
      </c>
      <c r="C4" s="45" t="s">
        <v>196</v>
      </c>
      <c r="D4" s="45" t="s">
        <v>190</v>
      </c>
      <c r="E4" s="45" t="s">
        <v>199</v>
      </c>
    </row>
    <row r="5" spans="1:5">
      <c r="A5" s="51" t="s">
        <v>182</v>
      </c>
      <c r="B5" s="45" t="s">
        <v>190</v>
      </c>
      <c r="C5" s="45" t="s">
        <v>191</v>
      </c>
      <c r="D5" s="45" t="s">
        <v>190</v>
      </c>
      <c r="E5" s="45" t="s">
        <v>200</v>
      </c>
    </row>
    <row r="6" spans="1:5" ht="15.75" thickBot="1">
      <c r="A6" s="53" t="s">
        <v>183</v>
      </c>
      <c r="B6" s="54" t="s">
        <v>201</v>
      </c>
      <c r="C6" s="54" t="s">
        <v>196</v>
      </c>
      <c r="D6" s="54" t="s">
        <v>190</v>
      </c>
      <c r="E6" s="54" t="s">
        <v>202</v>
      </c>
    </row>
  </sheetData>
  <pageMargins left="0.7" right="0.7" top="0.75" bottom="0.75" header="0.3" footer="0.3"/>
  <headerFooter>
    <oddHeader>&amp;R&amp;"Aptos"&amp;12&amp;K000000 Unclassified - Non-Classifié&amp;1#_x000D_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B1CDC-D183-41CA-9C76-44D15A8113EF}">
  <dimension ref="A2:Y88"/>
  <sheetViews>
    <sheetView topLeftCell="A3" workbookViewId="0">
      <selection activeCell="I18" sqref="I18"/>
    </sheetView>
  </sheetViews>
  <sheetFormatPr defaultRowHeight="15"/>
  <cols>
    <col min="1" max="1" width="35.28515625" bestFit="1" customWidth="1"/>
    <col min="2" max="2" width="21.7109375" bestFit="1" customWidth="1"/>
    <col min="3" max="3" width="10.7109375" customWidth="1"/>
    <col min="4" max="4" width="11.7109375" customWidth="1"/>
    <col min="5" max="6" width="12.28515625" customWidth="1"/>
    <col min="7" max="7" width="13" customWidth="1"/>
    <col min="8" max="8" width="11.28515625" customWidth="1"/>
    <col min="9" max="9" width="12.85546875" customWidth="1"/>
    <col min="10" max="10" width="9.85546875" customWidth="1"/>
  </cols>
  <sheetData>
    <row r="2" spans="1:12" ht="15.75" thickBot="1">
      <c r="B2" s="137"/>
      <c r="C2" s="254" t="s">
        <v>132</v>
      </c>
      <c r="D2" s="254"/>
      <c r="E2" s="254"/>
      <c r="F2" s="254"/>
      <c r="G2" s="254" t="s">
        <v>133</v>
      </c>
      <c r="H2" s="254"/>
      <c r="I2" s="254"/>
      <c r="J2" s="254"/>
      <c r="K2" s="137"/>
      <c r="L2" s="137"/>
    </row>
    <row r="3" spans="1:12" ht="30.75" thickBot="1">
      <c r="A3" s="136" t="s">
        <v>185</v>
      </c>
      <c r="B3" s="135" t="s">
        <v>2</v>
      </c>
      <c r="C3" s="134" t="s">
        <v>28</v>
      </c>
      <c r="D3" s="133" t="s">
        <v>29</v>
      </c>
      <c r="E3" s="133" t="s">
        <v>30</v>
      </c>
      <c r="F3" s="132" t="s">
        <v>135</v>
      </c>
      <c r="G3" s="131" t="s">
        <v>28</v>
      </c>
      <c r="H3" s="130" t="s">
        <v>29</v>
      </c>
      <c r="I3" s="130" t="s">
        <v>30</v>
      </c>
      <c r="J3" s="129" t="s">
        <v>135</v>
      </c>
    </row>
    <row r="4" spans="1:12">
      <c r="A4" s="258" t="s">
        <v>178</v>
      </c>
      <c r="B4" s="120" t="s">
        <v>11</v>
      </c>
      <c r="C4" s="119">
        <v>27.7</v>
      </c>
      <c r="D4" s="47">
        <v>27.5</v>
      </c>
      <c r="E4" s="47">
        <v>27.9</v>
      </c>
      <c r="F4" s="124">
        <v>27.7</v>
      </c>
      <c r="G4" s="114">
        <v>27.704000000000001</v>
      </c>
      <c r="H4" s="113">
        <v>27.635999999999999</v>
      </c>
      <c r="I4" s="113">
        <v>27.564</v>
      </c>
      <c r="J4" s="112">
        <v>27.634666666666664</v>
      </c>
    </row>
    <row r="5" spans="1:12">
      <c r="A5" s="259"/>
      <c r="B5" s="118" t="s">
        <v>17</v>
      </c>
      <c r="C5" s="117">
        <v>28.5</v>
      </c>
      <c r="D5" s="116" t="s">
        <v>39</v>
      </c>
      <c r="E5" s="125">
        <v>27</v>
      </c>
      <c r="F5" s="115">
        <v>27.099999999999998</v>
      </c>
      <c r="G5" s="114">
        <v>27.347999999999999</v>
      </c>
      <c r="H5" s="113">
        <v>27.434000000000001</v>
      </c>
      <c r="I5" s="113">
        <v>27.27</v>
      </c>
      <c r="J5" s="112">
        <v>27.350666666666665</v>
      </c>
    </row>
    <row r="6" spans="1:12">
      <c r="A6" s="259"/>
      <c r="B6" s="118" t="s">
        <v>104</v>
      </c>
      <c r="C6" s="117">
        <v>27.9</v>
      </c>
      <c r="D6" s="116">
        <v>27.9</v>
      </c>
      <c r="E6" s="116">
        <v>27.6</v>
      </c>
      <c r="F6" s="115">
        <v>27.8</v>
      </c>
      <c r="G6" s="114">
        <v>26.797999999999998</v>
      </c>
      <c r="H6" s="113">
        <v>26.829000000000001</v>
      </c>
      <c r="I6" s="113">
        <v>26.762</v>
      </c>
      <c r="J6" s="112">
        <v>26.796333333333333</v>
      </c>
    </row>
    <row r="7" spans="1:12" ht="15.75" thickBot="1">
      <c r="A7" s="260"/>
      <c r="B7" s="118" t="s">
        <v>107</v>
      </c>
      <c r="C7" s="117">
        <v>28.2</v>
      </c>
      <c r="D7" s="116">
        <v>28.2</v>
      </c>
      <c r="E7" s="116">
        <v>28.1</v>
      </c>
      <c r="F7" s="115">
        <v>28.166666666666668</v>
      </c>
      <c r="G7" s="108">
        <v>27.08</v>
      </c>
      <c r="H7" s="107">
        <v>27.053000000000001</v>
      </c>
      <c r="I7" s="107">
        <v>27.03</v>
      </c>
      <c r="J7" s="106">
        <v>27.054333333333332</v>
      </c>
    </row>
    <row r="8" spans="1:12">
      <c r="A8" s="250" t="s">
        <v>180</v>
      </c>
      <c r="B8" s="120" t="s">
        <v>90</v>
      </c>
      <c r="C8" s="128">
        <v>28.9</v>
      </c>
      <c r="D8" s="127">
        <v>29</v>
      </c>
      <c r="E8" s="127">
        <v>29</v>
      </c>
      <c r="F8" s="124">
        <v>28.966666666666669</v>
      </c>
      <c r="G8" s="114">
        <v>27.497</v>
      </c>
      <c r="H8" s="113">
        <v>27.457999999999998</v>
      </c>
      <c r="I8" s="113">
        <v>27.376999999999999</v>
      </c>
      <c r="J8" s="112">
        <v>27.443999999999999</v>
      </c>
    </row>
    <row r="9" spans="1:12">
      <c r="A9" s="251"/>
      <c r="B9" s="118" t="s">
        <v>93</v>
      </c>
      <c r="C9" s="126">
        <v>29</v>
      </c>
      <c r="D9" s="125">
        <v>29</v>
      </c>
      <c r="E9" s="125">
        <v>28.8</v>
      </c>
      <c r="F9" s="115">
        <v>28.933333333333334</v>
      </c>
      <c r="G9" s="114">
        <v>28.042000000000002</v>
      </c>
      <c r="H9" s="113">
        <v>28.064</v>
      </c>
      <c r="I9" s="113">
        <v>28.009</v>
      </c>
      <c r="J9" s="112">
        <v>28.038333333333338</v>
      </c>
    </row>
    <row r="10" spans="1:12">
      <c r="A10" s="251"/>
      <c r="B10" s="118" t="s">
        <v>59</v>
      </c>
      <c r="C10" s="117">
        <v>26.9</v>
      </c>
      <c r="D10" s="116">
        <v>26.6</v>
      </c>
      <c r="E10" s="116">
        <v>26.3</v>
      </c>
      <c r="F10" s="115">
        <v>26.599999999999998</v>
      </c>
      <c r="G10" s="114">
        <v>27.338000000000001</v>
      </c>
      <c r="H10" s="113">
        <v>27.359000000000002</v>
      </c>
      <c r="I10" s="113">
        <v>27.317</v>
      </c>
      <c r="J10" s="112">
        <v>27.338000000000005</v>
      </c>
    </row>
    <row r="11" spans="1:12" ht="15.75" thickBot="1">
      <c r="A11" s="252"/>
      <c r="B11" s="111" t="s">
        <v>61</v>
      </c>
      <c r="C11" s="110">
        <v>27.2</v>
      </c>
      <c r="D11" s="48">
        <v>26.4</v>
      </c>
      <c r="E11" s="48">
        <v>27.3</v>
      </c>
      <c r="F11" s="121">
        <v>26.966666666666665</v>
      </c>
      <c r="G11" s="108">
        <v>27.273</v>
      </c>
      <c r="H11" s="107">
        <v>27.376000000000001</v>
      </c>
      <c r="I11" s="107">
        <v>27.356999999999999</v>
      </c>
      <c r="J11" s="106">
        <v>27.335333333333335</v>
      </c>
    </row>
    <row r="12" spans="1:12">
      <c r="A12" s="250" t="s">
        <v>182</v>
      </c>
      <c r="B12" s="118" t="s">
        <v>74</v>
      </c>
      <c r="C12" s="117">
        <v>27.7</v>
      </c>
      <c r="D12" s="116">
        <v>27.5</v>
      </c>
      <c r="E12" s="116">
        <v>27.6</v>
      </c>
      <c r="F12" s="124">
        <v>27.600000000000005</v>
      </c>
      <c r="G12" s="123">
        <v>27.318000000000001</v>
      </c>
      <c r="H12" s="122">
        <v>27.227</v>
      </c>
      <c r="I12" s="113">
        <v>27.25</v>
      </c>
      <c r="J12" s="112">
        <v>27.265000000000001</v>
      </c>
    </row>
    <row r="13" spans="1:12" ht="15.75" thickBot="1">
      <c r="A13" s="252"/>
      <c r="B13" s="118" t="s">
        <v>76</v>
      </c>
      <c r="C13" s="117">
        <v>26.7</v>
      </c>
      <c r="D13" s="116">
        <v>27</v>
      </c>
      <c r="E13" s="116">
        <v>27.2</v>
      </c>
      <c r="F13" s="121">
        <v>26.966666666666669</v>
      </c>
      <c r="G13" s="108">
        <v>27.044</v>
      </c>
      <c r="H13" s="107">
        <v>27.097000000000001</v>
      </c>
      <c r="I13" s="107">
        <v>27.003</v>
      </c>
      <c r="J13" s="106">
        <v>27.048000000000002</v>
      </c>
    </row>
    <row r="14" spans="1:12">
      <c r="A14" s="250" t="s">
        <v>183</v>
      </c>
      <c r="B14" s="120" t="s">
        <v>155</v>
      </c>
      <c r="C14" s="119">
        <v>27.5</v>
      </c>
      <c r="D14" s="47">
        <v>27.4</v>
      </c>
      <c r="E14" s="47">
        <v>27.6</v>
      </c>
      <c r="F14" s="115">
        <v>27.5</v>
      </c>
      <c r="G14" s="114">
        <v>26.966000000000001</v>
      </c>
      <c r="H14" s="113">
        <v>26.895</v>
      </c>
      <c r="I14" s="113">
        <v>26.99</v>
      </c>
      <c r="J14" s="112">
        <v>26.950333333333333</v>
      </c>
    </row>
    <row r="15" spans="1:12">
      <c r="A15" s="251"/>
      <c r="B15" s="118" t="s">
        <v>157</v>
      </c>
      <c r="C15" s="117">
        <v>26.6</v>
      </c>
      <c r="D15" s="116">
        <v>26.3</v>
      </c>
      <c r="E15" s="116">
        <v>26.6</v>
      </c>
      <c r="F15" s="115">
        <v>26.5</v>
      </c>
      <c r="G15" s="114">
        <v>24.992000000000001</v>
      </c>
      <c r="H15" s="113">
        <v>24.844999999999999</v>
      </c>
      <c r="I15" s="113">
        <v>24.945</v>
      </c>
      <c r="J15" s="112">
        <v>24.927333333333337</v>
      </c>
    </row>
    <row r="16" spans="1:12">
      <c r="A16" s="251"/>
      <c r="B16" s="118" t="s">
        <v>140</v>
      </c>
      <c r="C16" s="117">
        <v>27.4</v>
      </c>
      <c r="D16" s="116">
        <v>27.7</v>
      </c>
      <c r="E16" s="116">
        <v>27.5</v>
      </c>
      <c r="F16" s="115">
        <v>27.533333333333331</v>
      </c>
      <c r="G16" s="114">
        <v>26.728000000000002</v>
      </c>
      <c r="H16" s="113">
        <v>26.567</v>
      </c>
      <c r="I16" s="113">
        <v>26.623000000000001</v>
      </c>
      <c r="J16" s="112">
        <v>26.639333333333337</v>
      </c>
    </row>
    <row r="17" spans="1:10" ht="15.75" thickBot="1">
      <c r="A17" s="252"/>
      <c r="B17" s="111" t="s">
        <v>142</v>
      </c>
      <c r="C17" s="110">
        <v>27.9</v>
      </c>
      <c r="D17" s="54">
        <v>27.7</v>
      </c>
      <c r="E17" s="54">
        <v>27.8</v>
      </c>
      <c r="F17" s="109">
        <f>AVERAGE(C17:E17)</f>
        <v>27.799999999999997</v>
      </c>
      <c r="G17" s="108">
        <v>27.068000000000001</v>
      </c>
      <c r="H17" s="107">
        <v>27</v>
      </c>
      <c r="I17" s="107">
        <v>26.981999999999999</v>
      </c>
      <c r="J17" s="106">
        <v>26.639333333333337</v>
      </c>
    </row>
    <row r="19" spans="1:10">
      <c r="A19" t="s">
        <v>203</v>
      </c>
    </row>
    <row r="63" spans="1:11" ht="15.75" thickBot="1">
      <c r="C63" s="137"/>
      <c r="D63" s="261" t="s">
        <v>132</v>
      </c>
      <c r="E63" s="261"/>
      <c r="F63" s="261"/>
      <c r="G63" s="261"/>
      <c r="H63" s="261" t="s">
        <v>133</v>
      </c>
      <c r="I63" s="261"/>
      <c r="J63" s="261"/>
      <c r="K63" s="261"/>
    </row>
    <row r="64" spans="1:11" ht="45.75" thickBot="1">
      <c r="A64" s="136" t="s">
        <v>185</v>
      </c>
      <c r="B64" s="204" t="s">
        <v>2</v>
      </c>
      <c r="C64" s="135" t="s">
        <v>134</v>
      </c>
      <c r="D64" s="134" t="s">
        <v>28</v>
      </c>
      <c r="E64" s="133" t="s">
        <v>29</v>
      </c>
      <c r="F64" s="133" t="s">
        <v>30</v>
      </c>
      <c r="G64" s="133" t="s">
        <v>135</v>
      </c>
      <c r="H64" s="131" t="s">
        <v>28</v>
      </c>
      <c r="I64" s="130" t="s">
        <v>29</v>
      </c>
      <c r="J64" s="130" t="s">
        <v>30</v>
      </c>
      <c r="K64" s="129" t="s">
        <v>135</v>
      </c>
    </row>
    <row r="65" spans="1:25">
      <c r="A65" s="258" t="s">
        <v>178</v>
      </c>
      <c r="B65" s="116" t="s">
        <v>11</v>
      </c>
      <c r="C65" s="120" t="s">
        <v>137</v>
      </c>
      <c r="D65" s="47">
        <v>27.7</v>
      </c>
      <c r="E65" s="47">
        <v>27.5</v>
      </c>
      <c r="F65" s="47">
        <v>27.9</v>
      </c>
      <c r="G65" s="127">
        <v>27.7</v>
      </c>
      <c r="H65" s="123">
        <v>27.704000000000001</v>
      </c>
      <c r="I65" s="122">
        <v>27.635999999999999</v>
      </c>
      <c r="J65" s="122">
        <v>27.564</v>
      </c>
      <c r="K65" s="201">
        <v>27.634666666666664</v>
      </c>
    </row>
    <row r="66" spans="1:25">
      <c r="A66" s="259"/>
      <c r="B66" s="116" t="s">
        <v>17</v>
      </c>
      <c r="C66" s="118" t="s">
        <v>137</v>
      </c>
      <c r="D66" s="116">
        <v>28.5</v>
      </c>
      <c r="E66" s="116" t="s">
        <v>39</v>
      </c>
      <c r="F66" s="125">
        <v>27</v>
      </c>
      <c r="G66" s="125">
        <v>27.099999999999998</v>
      </c>
      <c r="H66" s="114">
        <v>27.347999999999999</v>
      </c>
      <c r="I66" s="113">
        <v>27.434000000000001</v>
      </c>
      <c r="J66" s="113">
        <v>27.27</v>
      </c>
      <c r="K66" s="112">
        <v>27.350666666666665</v>
      </c>
    </row>
    <row r="67" spans="1:25">
      <c r="A67" s="259"/>
      <c r="B67" s="116" t="s">
        <v>19</v>
      </c>
      <c r="C67" s="118" t="s">
        <v>20</v>
      </c>
      <c r="D67" s="116" t="s">
        <v>42</v>
      </c>
      <c r="E67" s="116" t="s">
        <v>42</v>
      </c>
      <c r="F67" s="125" t="s">
        <v>42</v>
      </c>
      <c r="G67" s="125" t="s">
        <v>42</v>
      </c>
      <c r="H67" s="114" t="s">
        <v>42</v>
      </c>
      <c r="I67" s="113" t="s">
        <v>42</v>
      </c>
      <c r="J67" s="113" t="s">
        <v>42</v>
      </c>
      <c r="K67" s="112" t="s">
        <v>42</v>
      </c>
    </row>
    <row r="68" spans="1:25">
      <c r="A68" s="259"/>
      <c r="B68" s="116" t="s">
        <v>104</v>
      </c>
      <c r="C68" s="118" t="s">
        <v>137</v>
      </c>
      <c r="D68" s="116">
        <v>27.9</v>
      </c>
      <c r="E68" s="116">
        <v>27.9</v>
      </c>
      <c r="F68" s="116">
        <v>27.6</v>
      </c>
      <c r="G68" s="125">
        <v>27.8</v>
      </c>
      <c r="H68" s="114">
        <v>26.797999999999998</v>
      </c>
      <c r="I68" s="113">
        <v>26.829000000000001</v>
      </c>
      <c r="J68" s="113">
        <v>26.762</v>
      </c>
      <c r="K68" s="112">
        <v>26.796333333333333</v>
      </c>
    </row>
    <row r="69" spans="1:25">
      <c r="A69" s="259"/>
      <c r="B69" s="116" t="s">
        <v>106</v>
      </c>
      <c r="C69" s="118" t="s">
        <v>137</v>
      </c>
      <c r="D69" s="116">
        <v>28.1</v>
      </c>
      <c r="E69" s="116">
        <v>28.5</v>
      </c>
      <c r="F69" s="199" t="s">
        <v>34</v>
      </c>
      <c r="G69" s="125">
        <f>AVERAGE(D69:E69)</f>
        <v>28.3</v>
      </c>
      <c r="H69" s="114">
        <v>27.1</v>
      </c>
      <c r="I69" s="113">
        <v>27.1</v>
      </c>
      <c r="J69" s="113">
        <v>27.1</v>
      </c>
      <c r="K69" s="112">
        <f>AVERAGE(H69:J69)</f>
        <v>27.100000000000005</v>
      </c>
    </row>
    <row r="70" spans="1:25">
      <c r="A70" s="259"/>
      <c r="B70" s="116" t="s">
        <v>107</v>
      </c>
      <c r="C70" s="118" t="s">
        <v>137</v>
      </c>
      <c r="D70" s="116">
        <v>28.2</v>
      </c>
      <c r="E70" s="116">
        <v>28.2</v>
      </c>
      <c r="F70" s="116">
        <v>28.1</v>
      </c>
      <c r="G70" s="125">
        <v>28.166666666666668</v>
      </c>
      <c r="H70" s="114">
        <v>27.08</v>
      </c>
      <c r="I70" s="113">
        <v>27.053000000000001</v>
      </c>
      <c r="J70" s="113">
        <v>27.03</v>
      </c>
      <c r="K70" s="112">
        <v>27.054333333333332</v>
      </c>
    </row>
    <row r="71" spans="1:25" ht="15.75" thickBot="1">
      <c r="A71" s="260"/>
      <c r="B71" s="48" t="s">
        <v>204</v>
      </c>
      <c r="C71" s="111" t="s">
        <v>20</v>
      </c>
      <c r="D71" s="202">
        <v>27.4</v>
      </c>
      <c r="E71" s="202">
        <v>27.4</v>
      </c>
      <c r="F71" s="202">
        <v>27.4</v>
      </c>
      <c r="G71" s="205">
        <v>27.4</v>
      </c>
      <c r="H71" s="108" t="s">
        <v>42</v>
      </c>
      <c r="I71" s="107" t="s">
        <v>42</v>
      </c>
      <c r="J71" s="107" t="s">
        <v>42</v>
      </c>
      <c r="K71" s="106" t="s">
        <v>42</v>
      </c>
    </row>
    <row r="72" spans="1:25">
      <c r="A72" s="250" t="s">
        <v>180</v>
      </c>
      <c r="B72" s="116" t="s">
        <v>90</v>
      </c>
      <c r="C72" s="120" t="s">
        <v>137</v>
      </c>
      <c r="D72" s="127">
        <v>28.9</v>
      </c>
      <c r="E72" s="127">
        <v>29</v>
      </c>
      <c r="F72" s="127">
        <v>29</v>
      </c>
      <c r="G72" s="127">
        <v>28.966666666666669</v>
      </c>
      <c r="H72" s="123">
        <v>27.497</v>
      </c>
      <c r="I72" s="122">
        <v>27.457999999999998</v>
      </c>
      <c r="J72" s="122">
        <v>27.376999999999999</v>
      </c>
      <c r="K72" s="201">
        <v>27.443999999999999</v>
      </c>
    </row>
    <row r="73" spans="1:25">
      <c r="A73" s="251"/>
      <c r="B73" s="116" t="s">
        <v>93</v>
      </c>
      <c r="C73" s="118" t="s">
        <v>137</v>
      </c>
      <c r="D73" s="125">
        <v>29</v>
      </c>
      <c r="E73" s="125">
        <v>29</v>
      </c>
      <c r="F73" s="125">
        <v>28.8</v>
      </c>
      <c r="G73" s="125">
        <v>28.933333333333334</v>
      </c>
      <c r="H73" s="114">
        <v>28.042000000000002</v>
      </c>
      <c r="I73" s="113">
        <v>28.064</v>
      </c>
      <c r="J73" s="113">
        <v>28.009</v>
      </c>
      <c r="K73" s="112">
        <v>28.038333333333338</v>
      </c>
    </row>
    <row r="74" spans="1:25">
      <c r="A74" s="251"/>
      <c r="B74" s="116" t="s">
        <v>205</v>
      </c>
      <c r="C74" s="118" t="s">
        <v>20</v>
      </c>
      <c r="D74" s="125" t="s">
        <v>42</v>
      </c>
      <c r="E74" s="125" t="s">
        <v>42</v>
      </c>
      <c r="F74" s="125" t="s">
        <v>42</v>
      </c>
      <c r="G74" s="125" t="s">
        <v>42</v>
      </c>
      <c r="H74" s="126" t="s">
        <v>42</v>
      </c>
      <c r="I74" s="125">
        <v>38.4</v>
      </c>
      <c r="J74" s="125">
        <v>38.4</v>
      </c>
      <c r="K74" s="115">
        <v>38.4</v>
      </c>
    </row>
    <row r="75" spans="1:25">
      <c r="A75" s="251"/>
      <c r="B75" s="116" t="s">
        <v>59</v>
      </c>
      <c r="C75" s="118" t="s">
        <v>137</v>
      </c>
      <c r="D75" s="116">
        <v>26.9</v>
      </c>
      <c r="E75" s="116">
        <v>26.6</v>
      </c>
      <c r="F75" s="116">
        <v>26.3</v>
      </c>
      <c r="G75" s="125">
        <v>26.599999999999998</v>
      </c>
      <c r="H75" s="114">
        <v>27.338000000000001</v>
      </c>
      <c r="I75" s="113">
        <v>27.359000000000002</v>
      </c>
      <c r="J75" s="113">
        <v>27.317</v>
      </c>
      <c r="K75" s="112">
        <v>27.338000000000005</v>
      </c>
    </row>
    <row r="76" spans="1:25">
      <c r="A76" s="251"/>
      <c r="B76" s="116" t="s">
        <v>61</v>
      </c>
      <c r="C76" s="118" t="s">
        <v>137</v>
      </c>
      <c r="D76" s="116">
        <v>27.2</v>
      </c>
      <c r="E76" s="116">
        <v>26.4</v>
      </c>
      <c r="F76" s="116">
        <v>27.3</v>
      </c>
      <c r="G76" s="125">
        <v>26.966666666666665</v>
      </c>
      <c r="H76" s="114">
        <v>27.273</v>
      </c>
      <c r="I76" s="113">
        <v>27.376000000000001</v>
      </c>
      <c r="J76" s="113">
        <v>27.356999999999999</v>
      </c>
      <c r="K76" s="112">
        <v>27.335333333333335</v>
      </c>
    </row>
    <row r="77" spans="1:25" ht="15.75" thickBot="1">
      <c r="A77" s="252"/>
      <c r="B77" s="48" t="s">
        <v>63</v>
      </c>
      <c r="C77" s="111" t="s">
        <v>20</v>
      </c>
      <c r="D77" s="203" t="s">
        <v>42</v>
      </c>
      <c r="E77" s="203" t="s">
        <v>42</v>
      </c>
      <c r="F77" s="203" t="s">
        <v>42</v>
      </c>
      <c r="G77" s="203" t="s">
        <v>42</v>
      </c>
      <c r="H77" s="206" t="s">
        <v>42</v>
      </c>
      <c r="I77" s="203" t="s">
        <v>42</v>
      </c>
      <c r="J77" s="203" t="s">
        <v>42</v>
      </c>
      <c r="K77" s="121" t="s">
        <v>42</v>
      </c>
      <c r="R77" s="26" t="s">
        <v>115</v>
      </c>
      <c r="S77" s="116" t="s">
        <v>53</v>
      </c>
      <c r="T77" s="116"/>
      <c r="U77" s="116"/>
      <c r="V77" s="116"/>
      <c r="W77" s="158">
        <v>27.131267547607422</v>
      </c>
      <c r="X77" s="97">
        <v>27.062820434570313</v>
      </c>
      <c r="Y77" s="157">
        <v>27.071315765380859</v>
      </c>
    </row>
    <row r="78" spans="1:25">
      <c r="A78" s="250" t="s">
        <v>182</v>
      </c>
      <c r="B78" s="116" t="s">
        <v>74</v>
      </c>
      <c r="C78" s="120" t="s">
        <v>137</v>
      </c>
      <c r="D78" s="47">
        <v>27.7</v>
      </c>
      <c r="E78" s="47">
        <v>27.5</v>
      </c>
      <c r="F78" s="47">
        <v>27.6</v>
      </c>
      <c r="G78" s="127">
        <v>27.600000000000005</v>
      </c>
      <c r="H78" s="123">
        <v>27.318000000000001</v>
      </c>
      <c r="I78" s="122">
        <v>27.227</v>
      </c>
      <c r="J78" s="122">
        <v>27.25</v>
      </c>
      <c r="K78" s="201">
        <v>27.265000000000001</v>
      </c>
      <c r="R78" s="156" t="s">
        <v>116</v>
      </c>
      <c r="S78" s="155" t="s">
        <v>14</v>
      </c>
      <c r="T78" s="155">
        <v>28.1</v>
      </c>
      <c r="U78" s="155">
        <v>28.5</v>
      </c>
      <c r="V78" s="169" t="s">
        <v>34</v>
      </c>
      <c r="W78" s="154">
        <v>29.084983825683594</v>
      </c>
      <c r="X78" s="153">
        <v>29.079376220703125</v>
      </c>
      <c r="Y78" s="152">
        <v>29.025020599365234</v>
      </c>
    </row>
    <row r="79" spans="1:25">
      <c r="A79" s="251"/>
      <c r="B79" s="116" t="s">
        <v>76</v>
      </c>
      <c r="C79" s="118" t="s">
        <v>137</v>
      </c>
      <c r="D79" s="116">
        <v>26.7</v>
      </c>
      <c r="E79" s="116">
        <v>27</v>
      </c>
      <c r="F79" s="116">
        <v>27.2</v>
      </c>
      <c r="G79" s="125">
        <v>26.966666666666669</v>
      </c>
      <c r="H79" s="114">
        <v>27.044</v>
      </c>
      <c r="I79" s="113">
        <v>27.097000000000001</v>
      </c>
      <c r="J79" s="113">
        <v>27.003</v>
      </c>
      <c r="K79" s="112">
        <v>27.048000000000002</v>
      </c>
      <c r="R79" s="26"/>
      <c r="S79" s="116"/>
      <c r="T79" s="116"/>
      <c r="U79" s="116"/>
      <c r="V79" s="199"/>
      <c r="W79" s="158"/>
      <c r="X79" s="97"/>
      <c r="Y79" s="157"/>
    </row>
    <row r="80" spans="1:25" ht="15.75" thickBot="1">
      <c r="A80" s="252"/>
      <c r="B80" s="48" t="s">
        <v>79</v>
      </c>
      <c r="C80" s="111" t="s">
        <v>20</v>
      </c>
      <c r="D80" s="48" t="s">
        <v>42</v>
      </c>
      <c r="E80" s="48" t="s">
        <v>42</v>
      </c>
      <c r="F80" s="48" t="s">
        <v>42</v>
      </c>
      <c r="G80" s="48" t="s">
        <v>42</v>
      </c>
      <c r="H80" s="110" t="s">
        <v>42</v>
      </c>
      <c r="I80" s="48" t="s">
        <v>42</v>
      </c>
      <c r="J80" s="48" t="s">
        <v>42</v>
      </c>
      <c r="K80" s="111" t="s">
        <v>42</v>
      </c>
      <c r="R80" s="176"/>
      <c r="S80" s="177"/>
      <c r="T80" s="177"/>
      <c r="U80" s="177"/>
      <c r="V80" s="177"/>
      <c r="W80" s="178"/>
      <c r="X80" s="179"/>
      <c r="Y80" s="180"/>
    </row>
    <row r="81" spans="1:25">
      <c r="A81" s="250" t="s">
        <v>183</v>
      </c>
      <c r="B81" s="116" t="s">
        <v>155</v>
      </c>
      <c r="C81" s="120" t="s">
        <v>137</v>
      </c>
      <c r="D81" s="47">
        <v>27.5</v>
      </c>
      <c r="E81" s="47">
        <v>27.4</v>
      </c>
      <c r="F81" s="47">
        <v>27.6</v>
      </c>
      <c r="G81" s="127">
        <v>27.5</v>
      </c>
      <c r="H81" s="123">
        <v>26.966000000000001</v>
      </c>
      <c r="I81" s="122">
        <v>26.895</v>
      </c>
      <c r="J81" s="122">
        <v>26.99</v>
      </c>
      <c r="K81" s="201">
        <v>26.950333333333333</v>
      </c>
      <c r="R81" s="181"/>
      <c r="S81" s="182"/>
      <c r="T81" s="183"/>
      <c r="U81" s="183"/>
      <c r="V81" s="183"/>
      <c r="W81" s="184"/>
      <c r="X81" s="185"/>
      <c r="Y81" s="186"/>
    </row>
    <row r="82" spans="1:25">
      <c r="A82" s="251"/>
      <c r="B82" s="116" t="s">
        <v>157</v>
      </c>
      <c r="C82" s="118" t="s">
        <v>137</v>
      </c>
      <c r="D82" s="116">
        <v>26.6</v>
      </c>
      <c r="E82" s="116">
        <v>26.3</v>
      </c>
      <c r="F82" s="116">
        <v>26.6</v>
      </c>
      <c r="G82" s="125">
        <v>26.5</v>
      </c>
      <c r="H82" s="114">
        <v>24.992000000000001</v>
      </c>
      <c r="I82" s="113">
        <v>24.844999999999999</v>
      </c>
      <c r="J82" s="113">
        <v>24.945</v>
      </c>
      <c r="K82" s="112">
        <v>24.927333333333337</v>
      </c>
    </row>
    <row r="83" spans="1:25">
      <c r="A83" s="251"/>
      <c r="B83" s="116" t="s">
        <v>160</v>
      </c>
      <c r="C83" s="118" t="s">
        <v>20</v>
      </c>
      <c r="D83" s="116" t="s">
        <v>42</v>
      </c>
      <c r="E83" s="116" t="s">
        <v>42</v>
      </c>
      <c r="F83" s="116">
        <v>42.99</v>
      </c>
      <c r="G83" s="125">
        <v>42.99</v>
      </c>
      <c r="H83" s="114">
        <v>39.299999999999997</v>
      </c>
      <c r="I83" s="113" t="s">
        <v>42</v>
      </c>
      <c r="J83" s="113">
        <v>39.9</v>
      </c>
      <c r="K83" s="112">
        <f>AVERAGE(H83,J83)</f>
        <v>39.599999999999994</v>
      </c>
    </row>
    <row r="84" spans="1:25">
      <c r="A84" s="251"/>
      <c r="B84" s="116" t="s">
        <v>140</v>
      </c>
      <c r="C84" s="118" t="s">
        <v>137</v>
      </c>
      <c r="D84" s="116">
        <v>27.4</v>
      </c>
      <c r="E84" s="116">
        <v>27.7</v>
      </c>
      <c r="F84" s="116">
        <v>27.5</v>
      </c>
      <c r="G84" s="125">
        <v>27.533333333333331</v>
      </c>
      <c r="H84" s="114">
        <v>26.728000000000002</v>
      </c>
      <c r="I84" s="113">
        <v>26.567</v>
      </c>
      <c r="J84" s="113">
        <v>26.623000000000001</v>
      </c>
      <c r="K84" s="112">
        <v>26.639333333333337</v>
      </c>
    </row>
    <row r="85" spans="1:25">
      <c r="A85" s="251"/>
      <c r="B85" s="116" t="s">
        <v>142</v>
      </c>
      <c r="C85" s="118" t="s">
        <v>137</v>
      </c>
      <c r="D85" s="116">
        <v>27.9</v>
      </c>
      <c r="E85" s="45">
        <v>27.7</v>
      </c>
      <c r="F85" s="45">
        <v>27.8</v>
      </c>
      <c r="G85" s="200">
        <f>AVERAGE(D85:F85)</f>
        <v>27.799999999999997</v>
      </c>
      <c r="H85" s="114">
        <v>27.068000000000001</v>
      </c>
      <c r="I85" s="113">
        <v>27</v>
      </c>
      <c r="J85" s="113">
        <v>26.981999999999999</v>
      </c>
      <c r="K85" s="112">
        <v>26.639333333333337</v>
      </c>
    </row>
    <row r="86" spans="1:25" ht="15.75" thickBot="1">
      <c r="A86" s="252"/>
      <c r="B86" s="48" t="s">
        <v>144</v>
      </c>
      <c r="C86" s="111" t="s">
        <v>20</v>
      </c>
      <c r="D86" s="48" t="s">
        <v>42</v>
      </c>
      <c r="E86" s="48" t="s">
        <v>42</v>
      </c>
      <c r="F86" s="48" t="s">
        <v>42</v>
      </c>
      <c r="G86" s="48" t="s">
        <v>42</v>
      </c>
      <c r="H86" s="110" t="s">
        <v>42</v>
      </c>
      <c r="I86" s="48" t="s">
        <v>42</v>
      </c>
      <c r="J86" s="48" t="s">
        <v>42</v>
      </c>
      <c r="K86" s="111" t="s">
        <v>42</v>
      </c>
    </row>
    <row r="88" spans="1:25">
      <c r="A88" t="s">
        <v>203</v>
      </c>
    </row>
  </sheetData>
  <mergeCells count="12">
    <mergeCell ref="A81:A86"/>
    <mergeCell ref="A14:A17"/>
    <mergeCell ref="C2:F2"/>
    <mergeCell ref="G2:J2"/>
    <mergeCell ref="A4:A7"/>
    <mergeCell ref="A8:A11"/>
    <mergeCell ref="A12:A13"/>
    <mergeCell ref="H63:K63"/>
    <mergeCell ref="D63:G63"/>
    <mergeCell ref="A65:A71"/>
    <mergeCell ref="A72:A77"/>
    <mergeCell ref="A78:A80"/>
  </mergeCells>
  <pageMargins left="0.7" right="0.7" top="0.75" bottom="0.75" header="0.3" footer="0.3"/>
  <headerFooter>
    <oddHeader>&amp;R&amp;"Aptos"&amp;12&amp;K000000 Unclassified - Non-Classifié&amp;1#_x000D_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196cf01-d99b-44b6-85bf-e1c59124b1f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77AF961EC15B4C9878FA2CB0E32A6A" ma:contentTypeVersion="12" ma:contentTypeDescription="Create a new document." ma:contentTypeScope="" ma:versionID="898fe4b386288d9b29f0987261dffa3e">
  <xsd:schema xmlns:xsd="http://www.w3.org/2001/XMLSchema" xmlns:xs="http://www.w3.org/2001/XMLSchema" xmlns:p="http://schemas.microsoft.com/office/2006/metadata/properties" xmlns:ns2="4196cf01-d99b-44b6-85bf-e1c59124b1f6" targetNamespace="http://schemas.microsoft.com/office/2006/metadata/properties" ma:root="true" ma:fieldsID="34100c6937163b00f9a18a490b3b438a" ns2:_="">
    <xsd:import namespace="4196cf01-d99b-44b6-85bf-e1c59124b1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96cf01-d99b-44b6-85bf-e1c59124b1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BE05F1-3593-4838-B90D-846B5541C4C9}"/>
</file>

<file path=customXml/itemProps2.xml><?xml version="1.0" encoding="utf-8"?>
<ds:datastoreItem xmlns:ds="http://schemas.openxmlformats.org/officeDocument/2006/customXml" ds:itemID="{13ECB947-6DFA-4996-B1CB-FCCF6C670B87}"/>
</file>

<file path=customXml/itemProps3.xml><?xml version="1.0" encoding="utf-8"?>
<ds:datastoreItem xmlns:ds="http://schemas.openxmlformats.org/officeDocument/2006/customXml" ds:itemID="{08E3F3C5-A5E5-4592-9DDB-F6FDECF78E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McBride, Meghan (DFO/MPO)</dc:creator>
  <cp:keywords/>
  <dc:description/>
  <cp:lastModifiedBy>Jeffery, Nick (DFO/MPO)</cp:lastModifiedBy>
  <cp:revision/>
  <dcterms:created xsi:type="dcterms:W3CDTF">2025-01-13T19:51:20Z</dcterms:created>
  <dcterms:modified xsi:type="dcterms:W3CDTF">2026-07-14T18:34:02Z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0x010100B077AF961EC15B4C9878FA2CB0E32A6A</vt:lpwstr>
  </property>
  <property fmtid="{D5CDD505-2E9C-101B-9397-08002B2CF9AE}" pid="3" name="MSIP_Label_4e6cdb53-fd15-486d-84de-c510e3a62203_Enabled">
    <vt:lpwstr>true</vt:lpwstr>
  </property>
  <property fmtid="{D5CDD505-2E9C-101B-9397-08002B2CF9AE}" pid="4" name="MSIP_Label_4e6cdb53-fd15-486d-84de-c510e3a62203_SetDate">
    <vt:lpwstr>2026-07-14T18:33:30Z</vt:lpwstr>
  </property>
  <property fmtid="{D5CDD505-2E9C-101B-9397-08002B2CF9AE}" pid="5" name="MSIP_Label_4e6cdb53-fd15-486d-84de-c510e3a62203_Method">
    <vt:lpwstr>Standard</vt:lpwstr>
  </property>
  <property fmtid="{D5CDD505-2E9C-101B-9397-08002B2CF9AE}" pid="6" name="MSIP_Label_4e6cdb53-fd15-486d-84de-c510e3a62203_Name">
    <vt:lpwstr>UNCLASSIFIED - NON-CLASSIFIÉ</vt:lpwstr>
  </property>
  <property fmtid="{D5CDD505-2E9C-101B-9397-08002B2CF9AE}" pid="7" name="MSIP_Label_4e6cdb53-fd15-486d-84de-c510e3a62203_SiteId">
    <vt:lpwstr>1594fdae-a1d9-4405-915d-011467234338</vt:lpwstr>
  </property>
  <property fmtid="{D5CDD505-2E9C-101B-9397-08002B2CF9AE}" pid="8" name="MSIP_Label_4e6cdb53-fd15-486d-84de-c510e3a62203_ActionId">
    <vt:lpwstr>ffab868b-4ede-46bd-be55-86e395b55473</vt:lpwstr>
  </property>
  <property fmtid="{D5CDD505-2E9C-101B-9397-08002B2CF9AE}" pid="9" name="MSIP_Label_4e6cdb53-fd15-486d-84de-c510e3a62203_ContentBits">
    <vt:lpwstr>1</vt:lpwstr>
  </property>
  <property fmtid="{D5CDD505-2E9C-101B-9397-08002B2CF9AE}" pid="10" name="MSIP_Label_4e6cdb53-fd15-486d-84de-c510e3a62203_Tag">
    <vt:lpwstr>10, 3, 0, 2</vt:lpwstr>
  </property>
  <property fmtid="{D5CDD505-2E9C-101B-9397-08002B2CF9AE}" pid="11" name="MediaServiceImageTags">
    <vt:lpwstr/>
  </property>
</Properties>
</file>